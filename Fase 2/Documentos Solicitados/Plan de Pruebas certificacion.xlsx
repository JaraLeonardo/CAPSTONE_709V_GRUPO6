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Control" sheetId="2" r:id="rId5"/>
    <sheet state="visible" name="Plan de prueba" sheetId="3" r:id="rId6"/>
    <sheet state="visible" name="Datos" sheetId="4" r:id="rId7"/>
    <sheet state="hidden" name="Datos del plan" sheetId="5" r:id="rId8"/>
  </sheets>
  <definedNames>
    <definedName hidden="1" localSheetId="2" name="_xlnm._FilterDatabase">'Plan de prueba'!$A$1:$P$313</definedName>
  </definedNames>
  <calcPr/>
  <extLst>
    <ext uri="GoogleSheetsCustomDataVersion2">
      <go:sheetsCustomData xmlns:go="http://customooxmlschemas.google.com/" r:id="rId9" roundtripDataChecksum="0JHTsixL2LFnKLyTyNjiDsdS+e3x+0foWw6BrxoJaXU="/>
    </ext>
  </extLst>
</workbook>
</file>

<file path=xl/sharedStrings.xml><?xml version="1.0" encoding="utf-8"?>
<sst xmlns="http://schemas.openxmlformats.org/spreadsheetml/2006/main" count="554" uniqueCount="159">
  <si>
    <t xml:space="preserve">Plan de prueba software OSPOS </t>
  </si>
  <si>
    <t>Integrantes:
Esteban Gonzalez, Leonardo Jara, Matias Lemus</t>
  </si>
  <si>
    <t>Casos</t>
  </si>
  <si>
    <t>OK</t>
  </si>
  <si>
    <t>NOK</t>
  </si>
  <si>
    <t>No ejecutado</t>
  </si>
  <si>
    <t>Bloqueado</t>
  </si>
  <si>
    <t>Obsoleto</t>
  </si>
  <si>
    <t>Total de casos</t>
  </si>
  <si>
    <t>% de  avance</t>
  </si>
  <si>
    <t>Total casos que ejecuto cada integrante del equipo</t>
  </si>
  <si>
    <t>Esteban González</t>
  </si>
  <si>
    <t>Matías Lemus</t>
  </si>
  <si>
    <t>Leonardo Jara</t>
  </si>
  <si>
    <t>Total Casos</t>
  </si>
  <si>
    <t xml:space="preserve"> </t>
  </si>
  <si>
    <t>ID</t>
  </si>
  <si>
    <t>Nombre de la prueba</t>
  </si>
  <si>
    <t>Tipo</t>
  </si>
  <si>
    <t>Resultado esperado</t>
  </si>
  <si>
    <t>Pre condicion</t>
  </si>
  <si>
    <t>Resultado obtenido</t>
  </si>
  <si>
    <t>Datos de prueba</t>
  </si>
  <si>
    <t>Modulo a probar</t>
  </si>
  <si>
    <t>Criterios de aceptacion</t>
  </si>
  <si>
    <t>Estrategia</t>
  </si>
  <si>
    <t>Resultado</t>
  </si>
  <si>
    <t>Candidato a automatizar</t>
  </si>
  <si>
    <t>Responsable ejecución</t>
  </si>
  <si>
    <t>MTC</t>
  </si>
  <si>
    <t>Validar el uso del código y herramientas de programación (test.py)</t>
  </si>
  <si>
    <t>Código</t>
  </si>
  <si>
    <t>Muestre error por un dato invalido</t>
  </si>
  <si>
    <t>Tener el código fuente</t>
  </si>
  <si>
    <t>Muestre un "OK" dentro de la consola de desarrollador, donde indique que el error ocurrió.</t>
  </si>
  <si>
    <t>usuario: "pruebaUsuario" ,  Contraseña: "12345", Rut:"Es el dato que falta para que nos arroje el resultado esperado", Company_name: "MiEmpresa", Sector: "Tecnología", Dirección:"Calle Ejemplo 123", País:"Chile", Ciudad:"Santiago", Télefono:" +569896512", apellido:"Pérez".</t>
  </si>
  <si>
    <r>
      <rPr>
        <rFont val="Calibri"/>
        <color theme="1"/>
        <sz val="11.0"/>
      </rPr>
      <t xml:space="preserve">Codigo </t>
    </r>
    <r>
      <rPr>
        <rFont val="Calibri"/>
        <color rgb="FF1155CC"/>
        <sz val="11.0"/>
        <u/>
      </rPr>
      <t>test.py</t>
    </r>
    <r>
      <rPr>
        <rFont val="Calibri"/>
        <color theme="1"/>
        <sz val="11.0"/>
      </rPr>
      <t xml:space="preserve"> en registro de usuario</t>
    </r>
  </si>
  <si>
    <t>Debe de dar un mensaje de "OK" corroborando cada dato utilizado en el código realizado</t>
  </si>
  <si>
    <t>Caja Negra</t>
  </si>
  <si>
    <t>SI</t>
  </si>
  <si>
    <t>Realizar prueba de registro exitoso en la plataforma</t>
  </si>
  <si>
    <t>Registro de cuenta exitoso</t>
  </si>
  <si>
    <t>La cuenta es creada exitosamente, dando como resultado un page de exito de registro de cuenta.</t>
  </si>
  <si>
    <t xml:space="preserve">Creating test database for alias ‘default’...
System check identified no issues 
—------------------
Run 1 test in 1.307s
ok
</t>
  </si>
  <si>
    <r>
      <rPr>
        <rFont val="Calibri"/>
        <color theme="1"/>
        <sz val="11.0"/>
      </rPr>
      <t xml:space="preserve">Codigo </t>
    </r>
    <r>
      <rPr>
        <rFont val="Calibri"/>
        <color rgb="FF1155CC"/>
        <sz val="11.0"/>
        <u/>
      </rPr>
      <t>forms.py</t>
    </r>
  </si>
  <si>
    <t>El formulario de datos debe permitir crear la cuenta con los datos correctos</t>
  </si>
  <si>
    <t>Inicio de Sesión</t>
  </si>
  <si>
    <t>Funcional</t>
  </si>
  <si>
    <t>El sistema debe permitir ingresar al sistema</t>
  </si>
  <si>
    <t>Estar en la página de inicio de sesión y una cuenta ya registrada</t>
  </si>
  <si>
    <t>El sistema logró permitir una cuenta ya registrada para dar a inicio al uso de la plataforma.</t>
  </si>
  <si>
    <r>
      <rPr>
        <rFont val="Calibri"/>
        <color theme="1"/>
        <sz val="11.0"/>
      </rPr>
      <t>Usuario: "</t>
    </r>
    <r>
      <rPr>
        <rFont val="Calibri"/>
        <color rgb="FF1155CC"/>
        <sz val="11.0"/>
        <u/>
      </rPr>
      <t>SimpleBurgercl</t>
    </r>
    <r>
      <rPr>
        <rFont val="Calibri"/>
        <color theme="1"/>
        <sz val="11.0"/>
      </rPr>
      <t>", Contraseña: "Burger309-"</t>
    </r>
  </si>
  <si>
    <t>Usuarios</t>
  </si>
  <si>
    <t>Los campos deben detectar cuando una contraseña no cumples las reglas establecidas</t>
  </si>
  <si>
    <t>Registro de Pyme/Distribuidor</t>
  </si>
  <si>
    <t>La Pyme/Distribuidor se registra perfectamente</t>
  </si>
  <si>
    <t>El usuario debe contar con datos validos de su empresa</t>
  </si>
  <si>
    <t>El sistema registró correctamente a la Pyme/Distribuidor, completando automáticamente los datos asociados al tipo de cuenta y mostrando un mensaje de confirmación de registro exitoso.</t>
  </si>
  <si>
    <t>Tipo de usuario: Distribuidor
Usuario: SPdigital
Contraseña: informac10n
rut: 76799430-3</t>
  </si>
  <si>
    <t>El sistema crea correctamente la cuenta de Pyme o Distribuidor y rellena automáticamente los datos correspondientes al tipo de usuario.</t>
  </si>
  <si>
    <t>Añadir un producto al catalogo</t>
  </si>
  <si>
    <t>El sistema debe permitir el ingreso de productos propios a cualquier usuario</t>
  </si>
  <si>
    <t>Estar logueado, y estar en la página de "Añadir producto"</t>
  </si>
  <si>
    <t>El articulo se ingresa correctamente.</t>
  </si>
  <si>
    <t>casillas: Nombre del producto, categoría, descripción, precio, imagen (agregar una imagen)</t>
  </si>
  <si>
    <t>Feed</t>
  </si>
  <si>
    <t>La plataforma debe de mostrar todo lo que el usuario registro y debe ser visto por otros usuarios.</t>
  </si>
  <si>
    <t>Interacción entre usuarios</t>
  </si>
  <si>
    <t>El usuario contactado debe de llegarle un mensaje</t>
  </si>
  <si>
    <t>Estar logueado, tener 2 perfiles registrados y 2 navegadores para la prueba en tiempo real.</t>
  </si>
  <si>
    <t>Al usuario contactado le llega un mensaje</t>
  </si>
  <si>
    <t>Usuarios: "Estampamania" y "Sp Digital". Mensaje: una simple interacción</t>
  </si>
  <si>
    <t>Contacto</t>
  </si>
  <si>
    <t>Los usuarios deben poder ver el mensaje enviado y recibir una notificación.</t>
  </si>
  <si>
    <t>Notificación entrante al entrar una interacción</t>
  </si>
  <si>
    <t>El usuario debe de recibir un número en su campana de notificación</t>
  </si>
  <si>
    <t>Estar logueado, que otro usuario comience una conversación.</t>
  </si>
  <si>
    <t>La notificación es visible para el usuario.</t>
  </si>
  <si>
    <t>Usuarios: Cualquiera que esté registrado. Botón interactivo donde avisa la notifiación.</t>
  </si>
  <si>
    <t>Página</t>
  </si>
  <si>
    <t>El sistema debe permitir interactuar con la notificación mostrando detalles e ingreso al chat.</t>
  </si>
  <si>
    <t>Validación de empresa por API externa</t>
  </si>
  <si>
    <t>La plataforma debe permitir la visualización de la empresa por el rut ingresado validado por el SII</t>
  </si>
  <si>
    <t>El administrador debe estar ingresado a la plataforma y tener el rut que debe ser verificado.</t>
  </si>
  <si>
    <t>La API muestra explicitamente el rut, nombre de la empresa, donde reside.</t>
  </si>
  <si>
    <t>El rut del usuario a verificar:"76.799.430-3"</t>
  </si>
  <si>
    <t>Verificación de empresa</t>
  </si>
  <si>
    <t>El sistema debe arrojar la información completa, desde su rut, nobmre de la empresa para que sea aceptada en la plataforma.</t>
  </si>
  <si>
    <t>Cambiar datos de un producto</t>
  </si>
  <si>
    <t>La plataforma debe de poder refrescar los datos del producto modificado.</t>
  </si>
  <si>
    <t>Estar logueado y tener al menos un producto en el feed</t>
  </si>
  <si>
    <t>El producto muestra el nuevo cambio realizado por el usuario.</t>
  </si>
  <si>
    <t>Producto en el feed previamente, el dato a cambiar (precio)</t>
  </si>
  <si>
    <t>El producto debe de mostrar el cambio realizado y que otros usuarios puedan observarlo.</t>
  </si>
  <si>
    <t>Visualizacion de ubicacion de distribuidores en un mapa</t>
  </si>
  <si>
    <t>El sistema muestra correctamente mediante una API la ubicacion del distribuidor.</t>
  </si>
  <si>
    <t>El usuario debe haber iniciado sesion en la plataforma y existir distribuidores con direcciones validas en la base de datos.</t>
  </si>
  <si>
    <t xml:space="preserve">El sistema cargo correctamente el mapa y mostro la direccion del local </t>
  </si>
  <si>
    <t>Usuario: Fruna_memories
Dirección: Av. 5 de Abril 236</t>
  </si>
  <si>
    <t>Visualizacion de mapa</t>
  </si>
  <si>
    <t>La plataforma muestra correctamente en el mapa la ubicacion del local registrado.</t>
  </si>
  <si>
    <t>Verificación de usuarios</t>
  </si>
  <si>
    <t>El sistema debe permitir enviar una solicitud para verificar el perfil de empresa</t>
  </si>
  <si>
    <t>El usuario debe de estar previamente registrado con datos validos para asi ser verificado</t>
  </si>
  <si>
    <t>Al enviar la solicitud, un moderador debe verificar que la empresa existe para asi dar el ticket de perfil verificado</t>
  </si>
  <si>
    <t>Representante Leonardo Alvarado
Email: Fruna@gmail.com
RUT: 84156500-2</t>
  </si>
  <si>
    <t>Se verifica exitosamente al usuario y permite el acceso a nuevas opciones</t>
  </si>
  <si>
    <t>Filtro de tipo de sector(Tecnología, Música, Textil, etc).</t>
  </si>
  <si>
    <t>La plataforma debe de mostrar solo el filtro ingresado por el usuario.</t>
  </si>
  <si>
    <t>Tener distintos usuarios con diferentes categorías de productos.</t>
  </si>
  <si>
    <t>El sistema solo arroja el filtro buscado</t>
  </si>
  <si>
    <t>Usuarios diferentes</t>
  </si>
  <si>
    <t>Solo debe mostrar a los usuarios que suben ese tipo de productos especializados</t>
  </si>
  <si>
    <t>Caja Blanca</t>
  </si>
  <si>
    <t>Publicación por usuario</t>
  </si>
  <si>
    <t>La plataforma debe de mostrar la publicación realizada por el usuario</t>
  </si>
  <si>
    <t>Estar logueado, en el page de feed de usuario.</t>
  </si>
  <si>
    <t>El sistema permite la publicación del usuario en su feed y es visible por otros usuarios</t>
  </si>
  <si>
    <t>Un comentario que se quisiera realizar, y otros usuarios.</t>
  </si>
  <si>
    <t>Otros usuarios deben de tener la posibilidad de ver dicha publicación entrando al perfil del usuario quien hizo la publicación</t>
  </si>
  <si>
    <t>Usuario comentando publicaciones ajenas</t>
  </si>
  <si>
    <t>El sistema debe permitir mensajes en publicaciones realizadas por otros usuarios</t>
  </si>
  <si>
    <t>Estar logueado, un usuario debió haber hecho una publicación en su feed antes.</t>
  </si>
  <si>
    <t>El usuario logro comentar con exito la publicación</t>
  </si>
  <si>
    <t>Usuarios diferentes:"Fruna_memories" y "Music_Store"</t>
  </si>
  <si>
    <t>Todo comentario realizado debe ser visible por otros usuarios</t>
  </si>
  <si>
    <t>Prueba automatizada</t>
  </si>
  <si>
    <t>El sistema debe de permitir el registro de un usuario por selenium y aceptar el registro en un tiempo corto</t>
  </si>
  <si>
    <t>Tener Selenium y la plataforma a mano.</t>
  </si>
  <si>
    <t>El sistema permitió el registro con total exito</t>
  </si>
  <si>
    <t>Todo los espacios para rellenar dentro del registro de usuario</t>
  </si>
  <si>
    <t>Registro de usuario</t>
  </si>
  <si>
    <t>El sistema debe de aceptar el registro con un tiempo &gt;4s</t>
  </si>
  <si>
    <t>Editar perfil completo</t>
  </si>
  <si>
    <t>El sistema permite al usuario modificar todos los campos del perfil, guradando correctamente los cambios realizados en la base de datos</t>
  </si>
  <si>
    <t>El usuario debe estar registrado e iniciar sesion en la plataforma</t>
  </si>
  <si>
    <t>Los cambios en el perfil se guardaron correctamente y se muestran actualizados en la interfaz del perfil de usuario</t>
  </si>
  <si>
    <t>Usuario:Gamers
a modificar:
Usuario:RetroGamers
Producto/Servicio a reseñar: Mouse Gamer</t>
  </si>
  <si>
    <t>Uusarios</t>
  </si>
  <si>
    <t>Elsistema actualiza correctamente los datos modificados por el usuario y los muestra de manera inmediata en la plataforma</t>
  </si>
  <si>
    <t>Realizar reseñas</t>
  </si>
  <si>
    <t>La plataforma permite a los usuarios dejar una reseña, guarda correctamente la calificacion y el comentario</t>
  </si>
  <si>
    <t>El usuario debe de estar registrado e iniciado sesion, deben de haber productos publicados, pymes o Distribuidores para poder dejar la reseña</t>
  </si>
  <si>
    <t>La reseña y calificacion se guardan correctamente</t>
  </si>
  <si>
    <t>Usuario:RetroGamers
Producto/Servicio a reseñar: Mouse Gamer
Calificación: 4 estrellas
Comentario: “Producto de buena calidad y entrega rápida.”</t>
  </si>
  <si>
    <t>Reseñas y calificaciones</t>
  </si>
  <si>
    <t>El sistema registra y muestra correctamente la reseña del usuario, asegurando que la calificacion y el comentario estém asociados al producto o distribuidor</t>
  </si>
  <si>
    <t>NO</t>
  </si>
  <si>
    <t>No Funcional</t>
  </si>
  <si>
    <t>Completar</t>
  </si>
  <si>
    <t>Hibrido</t>
  </si>
  <si>
    <t>Baja</t>
  </si>
  <si>
    <t>Media</t>
  </si>
  <si>
    <t>UAT</t>
  </si>
  <si>
    <t>Alta</t>
  </si>
  <si>
    <t>End to End</t>
  </si>
  <si>
    <t>Stress</t>
  </si>
  <si>
    <t>Rendimiento</t>
  </si>
  <si>
    <t>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</si>
</sst>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sz val="24.0"/>
      <color theme="1"/>
      <name val="Calibri"/>
    </font>
    <font/>
    <font>
      <sz val="11.0"/>
      <color rgb="FF000000"/>
      <name val="Inconsolata"/>
    </font>
    <font>
      <sz val="9.0"/>
      <color rgb="FF000000"/>
      <name val="Calibri"/>
    </font>
    <font>
      <sz val="20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36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</border>
    <border>
      <right/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7" fillId="2" fontId="1" numFmtId="0" xfId="0" applyAlignment="1" applyBorder="1" applyFont="1">
      <alignment horizontal="left" readingOrder="0" shrinkToFit="0" vertical="top" wrapText="1"/>
    </xf>
    <xf borderId="15" fillId="2" fontId="1" numFmtId="0" xfId="0" applyBorder="1" applyFont="1"/>
    <xf borderId="16" fillId="2" fontId="1" numFmtId="0" xfId="0" applyBorder="1" applyFont="1"/>
    <xf borderId="17" fillId="2" fontId="1" numFmtId="0" xfId="0" applyBorder="1" applyFont="1"/>
    <xf borderId="1" fillId="2" fontId="1" numFmtId="0" xfId="0" applyAlignment="1" applyBorder="1" applyFont="1">
      <alignment horizontal="center"/>
    </xf>
    <xf borderId="1" fillId="2" fontId="4" numFmtId="0" xfId="0" applyBorder="1" applyFont="1"/>
    <xf borderId="18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vertical="center"/>
    </xf>
    <xf borderId="20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1" fillId="2" fontId="1" numFmtId="0" xfId="0" applyAlignment="1" applyBorder="1" applyFont="1">
      <alignment vertical="center"/>
    </xf>
    <xf borderId="23" fillId="2" fontId="1" numFmtId="0" xfId="0" applyAlignment="1" applyBorder="1" applyFont="1">
      <alignment vertical="center"/>
    </xf>
    <xf borderId="24" fillId="0" fontId="3" numFmtId="0" xfId="0" applyBorder="1" applyFont="1"/>
    <xf borderId="1" fillId="2" fontId="5" numFmtId="0" xfId="0" applyAlignment="1" applyBorder="1" applyFont="1">
      <alignment horizontal="center"/>
    </xf>
    <xf borderId="25" fillId="2" fontId="1" numFmtId="0" xfId="0" applyAlignment="1" applyBorder="1" applyFont="1">
      <alignment vertical="center"/>
    </xf>
    <xf borderId="26" fillId="0" fontId="3" numFmtId="0" xfId="0" applyBorder="1" applyFont="1"/>
    <xf borderId="20" fillId="2" fontId="5" numFmtId="0" xfId="0" applyAlignment="1" applyBorder="1" applyFont="1">
      <alignment horizontal="center"/>
    </xf>
    <xf borderId="27" fillId="2" fontId="6" numFmtId="164" xfId="0" applyAlignment="1" applyBorder="1" applyFont="1" applyNumberFormat="1">
      <alignment horizontal="center" vertical="center"/>
    </xf>
    <xf borderId="28" fillId="0" fontId="3" numFmtId="0" xfId="0" applyBorder="1" applyFont="1"/>
    <xf borderId="18" fillId="2" fontId="6" numFmtId="9" xfId="0" applyAlignment="1" applyBorder="1" applyFont="1" applyNumberForma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27" fillId="2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25" fillId="2" fontId="1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25" fillId="2" fontId="1" numFmtId="0" xfId="0" applyBorder="1" applyFont="1"/>
    <xf borderId="20" fillId="2" fontId="1" numFmtId="0" xfId="0" applyBorder="1" applyFont="1"/>
    <xf borderId="23" fillId="2" fontId="1" numFmtId="0" xfId="0" applyAlignment="1" applyBorder="1" applyFont="1">
      <alignment horizontal="center"/>
    </xf>
    <xf borderId="34" fillId="0" fontId="3" numFmtId="0" xfId="0" applyBorder="1" applyFont="1"/>
    <xf borderId="20" fillId="2" fontId="1" numFmtId="0" xfId="0" applyAlignment="1" applyBorder="1" applyFont="1">
      <alignment horizontal="center"/>
    </xf>
    <xf borderId="1" fillId="2" fontId="7" numFmtId="0" xfId="0" applyBorder="1" applyFont="1"/>
    <xf borderId="20" fillId="3" fontId="1" numFmtId="0" xfId="0" applyAlignment="1" applyBorder="1" applyFill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19" fillId="3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0" fillId="4" fontId="1" numFmtId="1" xfId="0" applyAlignment="1" applyBorder="1" applyFill="1" applyFont="1" applyNumberFormat="1">
      <alignment horizontal="center" shrinkToFit="0" vertical="center" wrapText="1"/>
    </xf>
    <xf borderId="20" fillId="4" fontId="1" numFmtId="0" xfId="0" applyAlignment="1" applyBorder="1" applyFont="1">
      <alignment horizontal="center" readingOrder="0" shrinkToFit="0" vertical="center" wrapText="1"/>
    </xf>
    <xf borderId="20" fillId="4" fontId="8" numFmtId="0" xfId="0" applyAlignment="1" applyBorder="1" applyFont="1">
      <alignment horizontal="center" readingOrder="0" shrinkToFit="0" vertical="center" wrapText="1"/>
    </xf>
    <xf borderId="20" fillId="4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20" fillId="4" fontId="1" numFmtId="0" xfId="0" applyAlignment="1" applyBorder="1" applyFont="1">
      <alignment shrinkToFit="0" vertical="center" wrapText="1"/>
    </xf>
    <xf borderId="20" fillId="4" fontId="9" numFmtId="0" xfId="0" applyAlignment="1" applyBorder="1" applyFont="1">
      <alignment shrinkToFit="0" wrapText="1"/>
    </xf>
    <xf borderId="35" fillId="4" fontId="9" numFmtId="0" xfId="0" applyAlignment="1" applyBorder="1" applyFont="1">
      <alignment shrinkToFit="0" wrapText="1"/>
    </xf>
    <xf borderId="20" fillId="0" fontId="1" numFmtId="1" xfId="0" applyAlignment="1" applyBorder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1583281499"/>
        <c:axId val="581785432"/>
      </c:barChart>
      <c:catAx>
        <c:axId val="15832814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1785432"/>
      </c:catAx>
      <c:valAx>
        <c:axId val="5817854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3281499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Control!$D$18:$D$21</c:f>
            </c:strRef>
          </c:cat>
          <c:val>
            <c:numRef>
              <c:f>Control!$E$18:$E$21</c:f>
              <c:numCache/>
            </c:numRef>
          </c:val>
        </c:ser>
        <c:ser>
          <c:idx val="1"/>
          <c:order val="1"/>
          <c:cat>
            <c:strRef>
              <c:f>Control!$D$18:$D$21</c:f>
            </c:strRef>
          </c:cat>
          <c:val>
            <c:numRef>
              <c:f>Control!$F$18:$F$21</c:f>
              <c:numCache/>
            </c:numRef>
          </c:val>
        </c:ser>
        <c:axId val="659030966"/>
        <c:axId val="1234517603"/>
      </c:barChart>
      <c:catAx>
        <c:axId val="659030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34517603"/>
      </c:catAx>
      <c:valAx>
        <c:axId val="1234517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59030966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0</xdr:row>
      <xdr:rowOff>57150</xdr:rowOff>
    </xdr:from>
    <xdr:ext cx="4314825" cy="2324100"/>
    <xdr:graphicFrame>
      <xdr:nvGraphicFramePr>
        <xdr:cNvPr id="144080750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66675</xdr:colOff>
      <xdr:row>13</xdr:row>
      <xdr:rowOff>104775</xdr:rowOff>
    </xdr:from>
    <xdr:ext cx="4429125" cy="2114550"/>
    <xdr:graphicFrame>
      <xdr:nvGraphicFramePr>
        <xdr:cNvPr id="119626400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est.py/" TargetMode="External"/><Relationship Id="rId2" Type="http://schemas.openxmlformats.org/officeDocument/2006/relationships/hyperlink" Target="http://forms.py/" TargetMode="External"/><Relationship Id="rId3" Type="http://schemas.openxmlformats.org/officeDocument/2006/relationships/hyperlink" Target="http://simpleburger.cl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25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5"/>
      <c r="C6" s="5"/>
      <c r="D6" s="1"/>
      <c r="E6" s="7" t="s">
        <v>0</v>
      </c>
      <c r="F6" s="8"/>
      <c r="G6" s="8"/>
      <c r="H6" s="8"/>
      <c r="I6" s="9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5"/>
      <c r="C7" s="5"/>
      <c r="D7" s="1"/>
      <c r="E7" s="10"/>
      <c r="I7" s="11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5"/>
      <c r="C8" s="5"/>
      <c r="D8" s="1"/>
      <c r="E8" s="10"/>
      <c r="I8" s="11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5"/>
      <c r="C9" s="5"/>
      <c r="D9" s="1"/>
      <c r="E9" s="10"/>
      <c r="I9" s="11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5"/>
      <c r="C10" s="5"/>
      <c r="D10" s="1"/>
      <c r="E10" s="12"/>
      <c r="F10" s="13"/>
      <c r="G10" s="13"/>
      <c r="H10" s="13"/>
      <c r="I10" s="14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5"/>
      <c r="C11" s="5"/>
      <c r="D11" s="1"/>
      <c r="E11" s="1"/>
      <c r="F11" s="1"/>
      <c r="G11" s="1"/>
      <c r="H11" s="1"/>
      <c r="I11" s="1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5"/>
      <c r="C12" s="5"/>
      <c r="D12" s="1"/>
      <c r="E12" s="1"/>
      <c r="F12" s="1"/>
      <c r="G12" s="1"/>
      <c r="H12" s="1"/>
      <c r="I12" s="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5"/>
      <c r="C13" s="5"/>
      <c r="D13" s="1"/>
      <c r="E13" s="1"/>
      <c r="F13" s="1"/>
      <c r="G13" s="1"/>
      <c r="H13" s="1"/>
      <c r="I13" s="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5"/>
      <c r="C14" s="5"/>
      <c r="D14" s="1"/>
      <c r="E14" s="1"/>
      <c r="F14" s="1"/>
      <c r="G14" s="1"/>
      <c r="H14" s="1"/>
      <c r="I14" s="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5"/>
      <c r="C15" s="5"/>
      <c r="D15" s="1"/>
      <c r="E15" s="1"/>
      <c r="F15" s="1"/>
      <c r="G15" s="1"/>
      <c r="H15" s="1"/>
      <c r="I15" s="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5"/>
      <c r="C16" s="5"/>
      <c r="D16" s="1"/>
      <c r="E16" s="1"/>
      <c r="F16" s="1"/>
      <c r="G16" s="1"/>
      <c r="H16" s="1"/>
      <c r="I16" s="1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5"/>
      <c r="C35" s="5"/>
      <c r="D35" s="1"/>
      <c r="E35" s="15" t="s">
        <v>1</v>
      </c>
      <c r="F35" s="8"/>
      <c r="G35" s="8"/>
      <c r="H35" s="8"/>
      <c r="I35" s="9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5"/>
      <c r="C36" s="5"/>
      <c r="D36" s="1"/>
      <c r="E36" s="10"/>
      <c r="I36" s="11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5"/>
      <c r="C37" s="5"/>
      <c r="D37" s="1"/>
      <c r="E37" s="10"/>
      <c r="I37" s="11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5"/>
      <c r="C38" s="5"/>
      <c r="D38" s="1"/>
      <c r="E38" s="10"/>
      <c r="I38" s="11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5"/>
      <c r="C39" s="5"/>
      <c r="D39" s="1"/>
      <c r="E39" s="12"/>
      <c r="F39" s="13"/>
      <c r="G39" s="13"/>
      <c r="H39" s="13"/>
      <c r="I39" s="14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5"/>
      <c r="C43" s="16"/>
      <c r="D43" s="17"/>
      <c r="E43" s="17"/>
      <c r="F43" s="17"/>
      <c r="G43" s="17"/>
      <c r="H43" s="17"/>
      <c r="I43" s="17"/>
      <c r="J43" s="17"/>
      <c r="K43" s="18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6:I10"/>
    <mergeCell ref="E35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2.0"/>
    <col customWidth="1" hidden="1" min="5" max="5" width="4.86"/>
    <col customWidth="1" min="6" max="6" width="10.57"/>
    <col customWidth="1" min="7" max="11" width="10.71"/>
    <col customWidth="1" min="12" max="12" width="5.43"/>
    <col customWidth="1" min="13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9"/>
      <c r="C2" s="19"/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9"/>
      <c r="C3" s="19"/>
      <c r="D3" s="1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9"/>
      <c r="C4" s="19"/>
      <c r="D4" s="1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9"/>
      <c r="E5" s="19"/>
      <c r="F5" s="19"/>
      <c r="G5" s="1"/>
      <c r="H5" s="1"/>
      <c r="I5" s="1"/>
      <c r="J5" s="1"/>
      <c r="K5" s="1"/>
      <c r="L5" s="1"/>
      <c r="M5" s="1"/>
      <c r="N5" s="1"/>
      <c r="O5" s="1"/>
      <c r="P5" s="20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21" t="s">
        <v>2</v>
      </c>
      <c r="C6" s="22" t="s">
        <v>3</v>
      </c>
      <c r="D6" s="23">
        <f>COUNTIF('Plan de prueba'!M2:M18,Control!C6)</f>
        <v>17</v>
      </c>
      <c r="E6" s="24"/>
      <c r="F6" s="24"/>
      <c r="G6" s="1"/>
      <c r="H6" s="1"/>
      <c r="I6" s="1"/>
      <c r="J6" s="1"/>
      <c r="K6" s="1"/>
      <c r="L6" s="1"/>
      <c r="M6" s="1"/>
      <c r="N6" s="1"/>
      <c r="O6" s="1"/>
      <c r="P6" s="20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5"/>
      <c r="C7" s="22" t="s">
        <v>4</v>
      </c>
      <c r="D7" s="23">
        <f>COUNTIF('Plan de prueba'!M2:M18,Control!C7)</f>
        <v>0</v>
      </c>
      <c r="E7" s="24"/>
      <c r="F7" s="2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5"/>
      <c r="C8" s="22" t="s">
        <v>5</v>
      </c>
      <c r="D8" s="23">
        <f>COUNTIF('Plan de prueba'!M2:M323,C8)</f>
        <v>0</v>
      </c>
      <c r="E8" s="24"/>
      <c r="F8" s="2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5"/>
      <c r="C9" s="22" t="s">
        <v>6</v>
      </c>
      <c r="D9" s="23">
        <f>COUNTIF('Plan de prueba'!M2:M18,C9)</f>
        <v>0</v>
      </c>
      <c r="E9" s="24"/>
      <c r="F9" s="24"/>
      <c r="G9" s="1"/>
      <c r="H9" s="1"/>
      <c r="I9" s="1"/>
      <c r="J9" s="1"/>
      <c r="K9" s="1"/>
      <c r="L9" s="1"/>
      <c r="M9" s="1"/>
      <c r="N9" s="1"/>
      <c r="O9" s="20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6"/>
      <c r="C10" s="22" t="s">
        <v>7</v>
      </c>
      <c r="D10" s="23">
        <f>COUNTIF('Plan de prueba'!M2:M323,C10)</f>
        <v>0</v>
      </c>
      <c r="E10" s="24"/>
      <c r="F10" s="2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7"/>
      <c r="C11" s="27"/>
      <c r="D11" s="2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8"/>
      <c r="C12" s="29"/>
      <c r="D12" s="3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31" t="s">
        <v>8</v>
      </c>
      <c r="C13" s="32"/>
      <c r="D13" s="33">
        <f>COUNTIF('Plan de prueba'!A2:A18,"*")</f>
        <v>17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34" t="s">
        <v>9</v>
      </c>
      <c r="C14" s="35"/>
      <c r="D14" s="36">
        <f>SUM(D6+D7+D9+D10)/D13</f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37"/>
      <c r="C15" s="38"/>
      <c r="D15" s="2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39" t="s">
        <v>10</v>
      </c>
      <c r="C18" s="40"/>
      <c r="D18" s="41" t="s">
        <v>11</v>
      </c>
      <c r="E18" s="32"/>
      <c r="F18" s="33">
        <f>COUNTIF('Plan de prueba'!$O$2:$O$74,D18)</f>
        <v>11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42"/>
      <c r="C19" s="11"/>
      <c r="D19" s="41" t="s">
        <v>12</v>
      </c>
      <c r="E19" s="32"/>
      <c r="F19" s="33">
        <f>COUNTIF('Plan de prueba'!$O$2:$O$74,D19)</f>
        <v>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42"/>
      <c r="C20" s="11"/>
      <c r="D20" s="41" t="s">
        <v>13</v>
      </c>
      <c r="E20" s="32"/>
      <c r="F20" s="33">
        <f>COUNTIF('Plan de prueba'!$O$2:$O$74,D20)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37"/>
      <c r="C21" s="43"/>
      <c r="D21" s="44"/>
      <c r="E21" s="32"/>
      <c r="F21" s="4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46" t="s">
        <v>14</v>
      </c>
      <c r="E23" s="47"/>
      <c r="F23" s="48">
        <f>SUM(F18:F21)</f>
        <v>17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4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D19:E19"/>
    <mergeCell ref="D20:E20"/>
    <mergeCell ref="D23:E23"/>
    <mergeCell ref="B6:B10"/>
    <mergeCell ref="B12:C12"/>
    <mergeCell ref="B13:C13"/>
    <mergeCell ref="B14:C15"/>
    <mergeCell ref="D14:D15"/>
    <mergeCell ref="B18:C21"/>
    <mergeCell ref="D18:E18"/>
    <mergeCell ref="D21:E2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2" width="10.29"/>
    <col customWidth="1" min="3" max="3" width="25.14"/>
    <col customWidth="1" min="4" max="4" width="35.43"/>
    <col customWidth="1" min="5" max="5" width="18.0"/>
    <col customWidth="1" min="6" max="6" width="27.86"/>
    <col customWidth="1" min="7" max="7" width="22.43"/>
    <col customWidth="1" min="8" max="8" width="31.43"/>
    <col customWidth="1" min="9" max="9" width="35.0"/>
    <col customWidth="1" min="10" max="10" width="21.43"/>
    <col customWidth="1" min="11" max="11" width="33.57"/>
    <col customWidth="1" min="12" max="12" width="19.14"/>
    <col customWidth="1" min="13" max="13" width="19.0"/>
    <col customWidth="1" min="14" max="14" width="22.71"/>
    <col customWidth="1" min="15" max="15" width="20.57"/>
  </cols>
  <sheetData>
    <row r="1" ht="14.25" customHeight="1">
      <c r="A1" s="50" t="s">
        <v>15</v>
      </c>
      <c r="B1" s="50"/>
      <c r="C1" s="50" t="s">
        <v>16</v>
      </c>
      <c r="D1" s="50" t="s">
        <v>17</v>
      </c>
      <c r="E1" s="50" t="s">
        <v>18</v>
      </c>
      <c r="F1" s="50" t="s">
        <v>19</v>
      </c>
      <c r="G1" s="51" t="s">
        <v>20</v>
      </c>
      <c r="H1" s="50" t="s">
        <v>21</v>
      </c>
      <c r="I1" s="50" t="s">
        <v>22</v>
      </c>
      <c r="J1" s="50" t="s">
        <v>23</v>
      </c>
      <c r="K1" s="51" t="s">
        <v>24</v>
      </c>
      <c r="L1" s="51" t="s">
        <v>25</v>
      </c>
      <c r="M1" s="50" t="s">
        <v>26</v>
      </c>
      <c r="N1" s="51" t="s">
        <v>27</v>
      </c>
      <c r="O1" s="52" t="s">
        <v>28</v>
      </c>
      <c r="P1" s="53"/>
      <c r="Q1" s="53"/>
      <c r="R1" s="53"/>
      <c r="S1" s="53"/>
      <c r="T1" s="53"/>
      <c r="U1" s="53"/>
      <c r="V1" s="53"/>
      <c r="W1" s="53"/>
      <c r="X1" s="53"/>
      <c r="Y1" s="53"/>
    </row>
    <row r="2">
      <c r="A2" s="54" t="s">
        <v>29</v>
      </c>
      <c r="B2" s="54">
        <v>10.0</v>
      </c>
      <c r="C2" s="54" t="str">
        <f t="shared" ref="C2:C11" si="1">A2&amp;"_00"&amp;B2</f>
        <v>MTC_0010</v>
      </c>
      <c r="D2" s="55" t="s">
        <v>30</v>
      </c>
      <c r="E2" s="55" t="s">
        <v>31</v>
      </c>
      <c r="F2" s="55" t="s">
        <v>32</v>
      </c>
      <c r="G2" s="55" t="s">
        <v>33</v>
      </c>
      <c r="H2" s="55" t="s">
        <v>34</v>
      </c>
      <c r="I2" s="55" t="s">
        <v>35</v>
      </c>
      <c r="J2" s="56" t="s">
        <v>36</v>
      </c>
      <c r="K2" s="55" t="s">
        <v>37</v>
      </c>
      <c r="L2" s="57" t="s">
        <v>38</v>
      </c>
      <c r="M2" s="57" t="s">
        <v>3</v>
      </c>
      <c r="N2" s="57" t="s">
        <v>39</v>
      </c>
      <c r="O2" s="55" t="s">
        <v>11</v>
      </c>
      <c r="P2" s="53"/>
      <c r="Q2" s="58"/>
      <c r="R2" s="58"/>
      <c r="S2" s="58"/>
      <c r="T2" s="58"/>
      <c r="U2" s="58"/>
      <c r="V2" s="58"/>
      <c r="W2" s="58"/>
      <c r="X2" s="58"/>
      <c r="Y2" s="58"/>
    </row>
    <row r="3">
      <c r="A3" s="54" t="s">
        <v>29</v>
      </c>
      <c r="B3" s="54">
        <v>20.0</v>
      </c>
      <c r="C3" s="54" t="str">
        <f t="shared" si="1"/>
        <v>MTC_0020</v>
      </c>
      <c r="D3" s="55" t="s">
        <v>40</v>
      </c>
      <c r="E3" s="55" t="s">
        <v>31</v>
      </c>
      <c r="F3" s="55" t="s">
        <v>41</v>
      </c>
      <c r="G3" s="55" t="s">
        <v>33</v>
      </c>
      <c r="H3" s="55" t="s">
        <v>42</v>
      </c>
      <c r="I3" s="55" t="s">
        <v>43</v>
      </c>
      <c r="J3" s="56" t="s">
        <v>44</v>
      </c>
      <c r="K3" s="55" t="s">
        <v>45</v>
      </c>
      <c r="L3" s="57" t="s">
        <v>38</v>
      </c>
      <c r="M3" s="57" t="s">
        <v>3</v>
      </c>
      <c r="N3" s="57" t="s">
        <v>39</v>
      </c>
      <c r="O3" s="55" t="s">
        <v>12</v>
      </c>
      <c r="P3" s="53"/>
      <c r="Q3" s="58"/>
      <c r="R3" s="58"/>
      <c r="S3" s="58"/>
      <c r="T3" s="58"/>
      <c r="U3" s="58"/>
      <c r="V3" s="58"/>
      <c r="W3" s="58"/>
      <c r="X3" s="58"/>
      <c r="Y3" s="58"/>
    </row>
    <row r="4">
      <c r="A4" s="54" t="s">
        <v>29</v>
      </c>
      <c r="B4" s="54">
        <v>30.0</v>
      </c>
      <c r="C4" s="54" t="str">
        <f t="shared" si="1"/>
        <v>MTC_0030</v>
      </c>
      <c r="D4" s="55" t="s">
        <v>46</v>
      </c>
      <c r="E4" s="57" t="s">
        <v>47</v>
      </c>
      <c r="F4" s="55" t="s">
        <v>48</v>
      </c>
      <c r="G4" s="55" t="s">
        <v>49</v>
      </c>
      <c r="H4" s="55" t="s">
        <v>50</v>
      </c>
      <c r="I4" s="56" t="s">
        <v>51</v>
      </c>
      <c r="J4" s="55" t="s">
        <v>52</v>
      </c>
      <c r="K4" s="55" t="s">
        <v>53</v>
      </c>
      <c r="L4" s="57" t="s">
        <v>38</v>
      </c>
      <c r="M4" s="57" t="s">
        <v>3</v>
      </c>
      <c r="N4" s="57" t="s">
        <v>39</v>
      </c>
      <c r="O4" s="55" t="s">
        <v>11</v>
      </c>
      <c r="P4" s="53"/>
      <c r="Q4" s="58"/>
      <c r="R4" s="58"/>
      <c r="S4" s="58"/>
      <c r="T4" s="58"/>
      <c r="U4" s="58"/>
      <c r="V4" s="58"/>
      <c r="W4" s="58"/>
      <c r="X4" s="58"/>
      <c r="Y4" s="58"/>
    </row>
    <row r="5">
      <c r="A5" s="54" t="s">
        <v>29</v>
      </c>
      <c r="B5" s="54">
        <v>40.0</v>
      </c>
      <c r="C5" s="54" t="str">
        <f t="shared" si="1"/>
        <v>MTC_0040</v>
      </c>
      <c r="D5" s="55" t="s">
        <v>54</v>
      </c>
      <c r="E5" s="57" t="s">
        <v>47</v>
      </c>
      <c r="F5" s="55" t="s">
        <v>55</v>
      </c>
      <c r="G5" s="55" t="s">
        <v>56</v>
      </c>
      <c r="H5" s="55" t="s">
        <v>57</v>
      </c>
      <c r="I5" s="55" t="s">
        <v>58</v>
      </c>
      <c r="J5" s="55" t="s">
        <v>52</v>
      </c>
      <c r="K5" s="55" t="s">
        <v>59</v>
      </c>
      <c r="L5" s="57" t="s">
        <v>38</v>
      </c>
      <c r="M5" s="57" t="s">
        <v>3</v>
      </c>
      <c r="N5" s="57" t="s">
        <v>39</v>
      </c>
      <c r="O5" s="55" t="s">
        <v>12</v>
      </c>
      <c r="P5" s="53"/>
      <c r="Q5" s="58"/>
      <c r="R5" s="58"/>
      <c r="S5" s="58"/>
      <c r="T5" s="58"/>
      <c r="U5" s="58"/>
      <c r="V5" s="58"/>
      <c r="W5" s="58"/>
      <c r="X5" s="58"/>
      <c r="Y5" s="58"/>
    </row>
    <row r="6">
      <c r="A6" s="54" t="s">
        <v>29</v>
      </c>
      <c r="B6" s="54">
        <v>50.0</v>
      </c>
      <c r="C6" s="54" t="str">
        <f t="shared" si="1"/>
        <v>MTC_0050</v>
      </c>
      <c r="D6" s="55" t="s">
        <v>60</v>
      </c>
      <c r="E6" s="57" t="s">
        <v>47</v>
      </c>
      <c r="F6" s="55" t="s">
        <v>61</v>
      </c>
      <c r="G6" s="55" t="s">
        <v>62</v>
      </c>
      <c r="H6" s="55" t="s">
        <v>63</v>
      </c>
      <c r="I6" s="55" t="s">
        <v>64</v>
      </c>
      <c r="J6" s="55" t="s">
        <v>65</v>
      </c>
      <c r="K6" s="55" t="s">
        <v>66</v>
      </c>
      <c r="L6" s="57" t="s">
        <v>38</v>
      </c>
      <c r="M6" s="57" t="s">
        <v>3</v>
      </c>
      <c r="N6" s="57" t="s">
        <v>39</v>
      </c>
      <c r="O6" s="55" t="s">
        <v>11</v>
      </c>
      <c r="P6" s="53"/>
      <c r="Q6" s="58"/>
      <c r="R6" s="58"/>
      <c r="S6" s="58"/>
      <c r="T6" s="58"/>
      <c r="U6" s="58"/>
      <c r="V6" s="58"/>
      <c r="W6" s="58"/>
      <c r="X6" s="58"/>
      <c r="Y6" s="58"/>
    </row>
    <row r="7">
      <c r="A7" s="54" t="s">
        <v>29</v>
      </c>
      <c r="B7" s="54">
        <v>60.0</v>
      </c>
      <c r="C7" s="54" t="str">
        <f t="shared" si="1"/>
        <v>MTC_0060</v>
      </c>
      <c r="D7" s="55" t="s">
        <v>67</v>
      </c>
      <c r="E7" s="57" t="s">
        <v>47</v>
      </c>
      <c r="F7" s="55" t="s">
        <v>68</v>
      </c>
      <c r="G7" s="55" t="s">
        <v>69</v>
      </c>
      <c r="H7" s="55" t="s">
        <v>70</v>
      </c>
      <c r="I7" s="55" t="s">
        <v>71</v>
      </c>
      <c r="J7" s="55" t="s">
        <v>72</v>
      </c>
      <c r="K7" s="55" t="s">
        <v>73</v>
      </c>
      <c r="L7" s="55" t="s">
        <v>38</v>
      </c>
      <c r="M7" s="57" t="s">
        <v>3</v>
      </c>
      <c r="N7" s="57" t="s">
        <v>39</v>
      </c>
      <c r="O7" s="55" t="s">
        <v>11</v>
      </c>
      <c r="P7" s="53"/>
      <c r="Q7" s="58"/>
      <c r="R7" s="58"/>
      <c r="S7" s="58"/>
      <c r="T7" s="58"/>
      <c r="U7" s="58"/>
      <c r="V7" s="58"/>
      <c r="W7" s="58"/>
      <c r="X7" s="58"/>
      <c r="Y7" s="58"/>
    </row>
    <row r="8">
      <c r="A8" s="54" t="s">
        <v>29</v>
      </c>
      <c r="B8" s="54">
        <v>70.0</v>
      </c>
      <c r="C8" s="54" t="str">
        <f t="shared" si="1"/>
        <v>MTC_0070</v>
      </c>
      <c r="D8" s="55" t="s">
        <v>74</v>
      </c>
      <c r="E8" s="57" t="s">
        <v>47</v>
      </c>
      <c r="F8" s="55" t="s">
        <v>75</v>
      </c>
      <c r="G8" s="55" t="s">
        <v>76</v>
      </c>
      <c r="H8" s="55" t="s">
        <v>77</v>
      </c>
      <c r="I8" s="55" t="s">
        <v>78</v>
      </c>
      <c r="J8" s="55" t="s">
        <v>79</v>
      </c>
      <c r="K8" s="55" t="s">
        <v>80</v>
      </c>
      <c r="L8" s="55" t="s">
        <v>38</v>
      </c>
      <c r="M8" s="57" t="s">
        <v>3</v>
      </c>
      <c r="N8" s="57" t="s">
        <v>39</v>
      </c>
      <c r="O8" s="55" t="s">
        <v>11</v>
      </c>
      <c r="P8" s="53"/>
      <c r="Q8" s="58"/>
      <c r="R8" s="58"/>
      <c r="S8" s="58"/>
      <c r="T8" s="58"/>
      <c r="U8" s="58"/>
      <c r="V8" s="58"/>
      <c r="W8" s="58"/>
      <c r="X8" s="58"/>
      <c r="Y8" s="58"/>
    </row>
    <row r="9">
      <c r="A9" s="54" t="s">
        <v>29</v>
      </c>
      <c r="B9" s="54">
        <v>80.0</v>
      </c>
      <c r="C9" s="54" t="str">
        <f t="shared" si="1"/>
        <v>MTC_0080</v>
      </c>
      <c r="D9" s="55" t="s">
        <v>81</v>
      </c>
      <c r="E9" s="57" t="s">
        <v>47</v>
      </c>
      <c r="F9" s="55" t="s">
        <v>82</v>
      </c>
      <c r="G9" s="55" t="s">
        <v>83</v>
      </c>
      <c r="H9" s="55" t="s">
        <v>84</v>
      </c>
      <c r="I9" s="55" t="s">
        <v>85</v>
      </c>
      <c r="J9" s="55" t="s">
        <v>86</v>
      </c>
      <c r="K9" s="55" t="s">
        <v>87</v>
      </c>
      <c r="L9" s="55" t="s">
        <v>38</v>
      </c>
      <c r="M9" s="57" t="s">
        <v>3</v>
      </c>
      <c r="N9" s="57" t="s">
        <v>39</v>
      </c>
      <c r="O9" s="55" t="s">
        <v>11</v>
      </c>
      <c r="P9" s="53"/>
      <c r="Q9" s="58"/>
      <c r="R9" s="58"/>
      <c r="S9" s="58"/>
      <c r="T9" s="58"/>
      <c r="U9" s="58"/>
      <c r="V9" s="58"/>
      <c r="W9" s="58"/>
      <c r="X9" s="58"/>
      <c r="Y9" s="58"/>
    </row>
    <row r="10">
      <c r="A10" s="54" t="s">
        <v>29</v>
      </c>
      <c r="B10" s="54">
        <v>90.0</v>
      </c>
      <c r="C10" s="54" t="str">
        <f t="shared" si="1"/>
        <v>MTC_0090</v>
      </c>
      <c r="D10" s="55" t="s">
        <v>88</v>
      </c>
      <c r="E10" s="57" t="s">
        <v>47</v>
      </c>
      <c r="F10" s="55" t="s">
        <v>89</v>
      </c>
      <c r="G10" s="55" t="s">
        <v>90</v>
      </c>
      <c r="H10" s="55" t="s">
        <v>91</v>
      </c>
      <c r="I10" s="55" t="s">
        <v>92</v>
      </c>
      <c r="J10" s="55" t="s">
        <v>65</v>
      </c>
      <c r="K10" s="55" t="s">
        <v>93</v>
      </c>
      <c r="L10" s="57" t="s">
        <v>38</v>
      </c>
      <c r="M10" s="57" t="s">
        <v>3</v>
      </c>
      <c r="N10" s="57" t="s">
        <v>39</v>
      </c>
      <c r="O10" s="55" t="s">
        <v>11</v>
      </c>
      <c r="P10" s="53"/>
      <c r="Q10" s="58"/>
      <c r="R10" s="58"/>
      <c r="S10" s="58"/>
      <c r="T10" s="58"/>
      <c r="U10" s="58"/>
      <c r="V10" s="58"/>
      <c r="W10" s="58"/>
      <c r="X10" s="58"/>
      <c r="Y10" s="58"/>
    </row>
    <row r="11">
      <c r="A11" s="54" t="s">
        <v>29</v>
      </c>
      <c r="B11" s="54">
        <v>100.0</v>
      </c>
      <c r="C11" s="54" t="str">
        <f t="shared" si="1"/>
        <v>MTC_00100</v>
      </c>
      <c r="D11" s="55" t="s">
        <v>94</v>
      </c>
      <c r="E11" s="57" t="s">
        <v>47</v>
      </c>
      <c r="F11" s="55" t="s">
        <v>95</v>
      </c>
      <c r="G11" s="55" t="s">
        <v>96</v>
      </c>
      <c r="H11" s="55" t="s">
        <v>97</v>
      </c>
      <c r="I11" s="55" t="s">
        <v>98</v>
      </c>
      <c r="J11" s="55" t="s">
        <v>99</v>
      </c>
      <c r="K11" s="55" t="s">
        <v>100</v>
      </c>
      <c r="L11" s="57" t="s">
        <v>38</v>
      </c>
      <c r="M11" s="57" t="s">
        <v>3</v>
      </c>
      <c r="N11" s="57" t="s">
        <v>39</v>
      </c>
      <c r="O11" s="55" t="s">
        <v>12</v>
      </c>
      <c r="P11" s="53"/>
      <c r="Q11" s="58"/>
      <c r="R11" s="58"/>
      <c r="S11" s="58"/>
      <c r="T11" s="58"/>
      <c r="U11" s="58"/>
      <c r="V11" s="58"/>
      <c r="W11" s="58"/>
      <c r="X11" s="58"/>
      <c r="Y11" s="58"/>
    </row>
    <row r="12">
      <c r="A12" s="54" t="s">
        <v>29</v>
      </c>
      <c r="B12" s="54">
        <v>110.0</v>
      </c>
      <c r="C12" s="54" t="str">
        <f t="shared" ref="C12:C18" si="2">A12&amp;"_0"&amp;B12</f>
        <v>MTC_0110</v>
      </c>
      <c r="D12" s="55" t="s">
        <v>101</v>
      </c>
      <c r="E12" s="57" t="s">
        <v>47</v>
      </c>
      <c r="F12" s="55" t="s">
        <v>102</v>
      </c>
      <c r="G12" s="55" t="s">
        <v>103</v>
      </c>
      <c r="H12" s="55" t="s">
        <v>104</v>
      </c>
      <c r="I12" s="55" t="s">
        <v>105</v>
      </c>
      <c r="J12" s="55" t="s">
        <v>52</v>
      </c>
      <c r="K12" s="55" t="s">
        <v>106</v>
      </c>
      <c r="L12" s="57" t="s">
        <v>38</v>
      </c>
      <c r="M12" s="57" t="s">
        <v>3</v>
      </c>
      <c r="N12" s="57" t="s">
        <v>39</v>
      </c>
      <c r="O12" s="55" t="s">
        <v>12</v>
      </c>
      <c r="P12" s="53"/>
      <c r="Q12" s="58"/>
      <c r="R12" s="58"/>
      <c r="S12" s="58"/>
      <c r="T12" s="58"/>
      <c r="U12" s="58"/>
      <c r="V12" s="58"/>
      <c r="W12" s="58"/>
      <c r="X12" s="58"/>
      <c r="Y12" s="58"/>
    </row>
    <row r="13">
      <c r="A13" s="54" t="s">
        <v>29</v>
      </c>
      <c r="B13" s="54">
        <v>120.0</v>
      </c>
      <c r="C13" s="54" t="str">
        <f t="shared" si="2"/>
        <v>MTC_0120</v>
      </c>
      <c r="D13" s="55" t="s">
        <v>107</v>
      </c>
      <c r="E13" s="57" t="s">
        <v>47</v>
      </c>
      <c r="F13" s="55" t="s">
        <v>108</v>
      </c>
      <c r="G13" s="55" t="s">
        <v>109</v>
      </c>
      <c r="H13" s="55" t="s">
        <v>110</v>
      </c>
      <c r="I13" s="55" t="s">
        <v>111</v>
      </c>
      <c r="J13" s="55" t="s">
        <v>52</v>
      </c>
      <c r="K13" s="55" t="s">
        <v>112</v>
      </c>
      <c r="L13" s="55" t="s">
        <v>113</v>
      </c>
      <c r="M13" s="57" t="s">
        <v>3</v>
      </c>
      <c r="N13" s="57" t="s">
        <v>39</v>
      </c>
      <c r="O13" s="55" t="s">
        <v>11</v>
      </c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>
      <c r="A14" s="54" t="s">
        <v>29</v>
      </c>
      <c r="B14" s="54">
        <v>130.0</v>
      </c>
      <c r="C14" s="54" t="str">
        <f t="shared" si="2"/>
        <v>MTC_0130</v>
      </c>
      <c r="D14" s="55" t="s">
        <v>114</v>
      </c>
      <c r="E14" s="57" t="s">
        <v>47</v>
      </c>
      <c r="F14" s="55" t="s">
        <v>115</v>
      </c>
      <c r="G14" s="55" t="s">
        <v>116</v>
      </c>
      <c r="H14" s="55" t="s">
        <v>117</v>
      </c>
      <c r="I14" s="55" t="s">
        <v>118</v>
      </c>
      <c r="J14" s="55" t="s">
        <v>65</v>
      </c>
      <c r="K14" s="55" t="s">
        <v>119</v>
      </c>
      <c r="L14" s="57" t="s">
        <v>38</v>
      </c>
      <c r="M14" s="57" t="s">
        <v>3</v>
      </c>
      <c r="N14" s="57" t="s">
        <v>39</v>
      </c>
      <c r="O14" s="55" t="s">
        <v>11</v>
      </c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>
      <c r="A15" s="54" t="s">
        <v>29</v>
      </c>
      <c r="B15" s="54">
        <v>140.0</v>
      </c>
      <c r="C15" s="54" t="str">
        <f t="shared" si="2"/>
        <v>MTC_0140</v>
      </c>
      <c r="D15" s="55" t="s">
        <v>120</v>
      </c>
      <c r="E15" s="57" t="s">
        <v>47</v>
      </c>
      <c r="F15" s="55" t="s">
        <v>121</v>
      </c>
      <c r="G15" s="55" t="s">
        <v>122</v>
      </c>
      <c r="H15" s="55" t="s">
        <v>123</v>
      </c>
      <c r="I15" s="55" t="s">
        <v>124</v>
      </c>
      <c r="J15" s="55" t="s">
        <v>65</v>
      </c>
      <c r="K15" s="55" t="s">
        <v>125</v>
      </c>
      <c r="L15" s="55" t="s">
        <v>38</v>
      </c>
      <c r="M15" s="57" t="s">
        <v>3</v>
      </c>
      <c r="N15" s="57" t="s">
        <v>39</v>
      </c>
      <c r="O15" s="55" t="s">
        <v>11</v>
      </c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>
      <c r="A16" s="54" t="s">
        <v>29</v>
      </c>
      <c r="B16" s="54">
        <v>150.0</v>
      </c>
      <c r="C16" s="54" t="str">
        <f t="shared" si="2"/>
        <v>MTC_0150</v>
      </c>
      <c r="D16" s="55" t="s">
        <v>126</v>
      </c>
      <c r="E16" s="57" t="s">
        <v>47</v>
      </c>
      <c r="F16" s="55" t="s">
        <v>127</v>
      </c>
      <c r="G16" s="55" t="s">
        <v>128</v>
      </c>
      <c r="H16" s="55" t="s">
        <v>129</v>
      </c>
      <c r="I16" s="55" t="s">
        <v>130</v>
      </c>
      <c r="J16" s="55" t="s">
        <v>131</v>
      </c>
      <c r="K16" s="55" t="s">
        <v>132</v>
      </c>
      <c r="L16" s="57" t="s">
        <v>38</v>
      </c>
      <c r="M16" s="57" t="s">
        <v>3</v>
      </c>
      <c r="N16" s="57" t="s">
        <v>39</v>
      </c>
      <c r="O16" s="55" t="s">
        <v>11</v>
      </c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>
      <c r="A17" s="54" t="s">
        <v>29</v>
      </c>
      <c r="B17" s="54">
        <v>160.0</v>
      </c>
      <c r="C17" s="54" t="str">
        <f t="shared" si="2"/>
        <v>MTC_0160</v>
      </c>
      <c r="D17" s="55" t="s">
        <v>133</v>
      </c>
      <c r="E17" s="57" t="s">
        <v>47</v>
      </c>
      <c r="F17" s="55" t="s">
        <v>134</v>
      </c>
      <c r="G17" s="55" t="s">
        <v>135</v>
      </c>
      <c r="H17" s="55" t="s">
        <v>136</v>
      </c>
      <c r="I17" s="55" t="s">
        <v>137</v>
      </c>
      <c r="J17" s="55" t="s">
        <v>138</v>
      </c>
      <c r="K17" s="55" t="s">
        <v>139</v>
      </c>
      <c r="L17" s="57" t="s">
        <v>38</v>
      </c>
      <c r="M17" s="57" t="s">
        <v>3</v>
      </c>
      <c r="N17" s="57" t="s">
        <v>39</v>
      </c>
      <c r="O17" s="55" t="s">
        <v>12</v>
      </c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>
      <c r="A18" s="54" t="s">
        <v>29</v>
      </c>
      <c r="B18" s="54">
        <v>170.0</v>
      </c>
      <c r="C18" s="54" t="str">
        <f t="shared" si="2"/>
        <v>MTC_0170</v>
      </c>
      <c r="D18" s="55" t="s">
        <v>140</v>
      </c>
      <c r="E18" s="57" t="s">
        <v>47</v>
      </c>
      <c r="F18" s="55" t="s">
        <v>141</v>
      </c>
      <c r="G18" s="55" t="s">
        <v>142</v>
      </c>
      <c r="H18" s="55" t="s">
        <v>143</v>
      </c>
      <c r="I18" s="55" t="s">
        <v>144</v>
      </c>
      <c r="J18" s="55" t="s">
        <v>145</v>
      </c>
      <c r="K18" s="55" t="s">
        <v>146</v>
      </c>
      <c r="L18" s="57" t="s">
        <v>38</v>
      </c>
      <c r="M18" s="57" t="s">
        <v>3</v>
      </c>
      <c r="N18" s="57" t="s">
        <v>39</v>
      </c>
      <c r="O18" s="55" t="s">
        <v>12</v>
      </c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>
      <c r="A19" s="54" t="s">
        <v>29</v>
      </c>
      <c r="B19" s="54">
        <v>180.0</v>
      </c>
      <c r="C19" s="54"/>
      <c r="D19" s="57"/>
      <c r="E19" s="57" t="s">
        <v>47</v>
      </c>
      <c r="F19" s="57"/>
      <c r="G19" s="57"/>
      <c r="H19" s="57"/>
      <c r="I19" s="57"/>
      <c r="J19" s="57"/>
      <c r="K19" s="57"/>
      <c r="L19" s="57" t="s">
        <v>38</v>
      </c>
      <c r="M19" s="57" t="s">
        <v>3</v>
      </c>
      <c r="N19" s="57" t="s">
        <v>39</v>
      </c>
      <c r="O19" s="57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>
      <c r="A20" s="54" t="s">
        <v>29</v>
      </c>
      <c r="B20" s="54">
        <v>190.0</v>
      </c>
      <c r="C20" s="54"/>
      <c r="D20" s="57"/>
      <c r="E20" s="57" t="s">
        <v>47</v>
      </c>
      <c r="F20" s="57"/>
      <c r="G20" s="57"/>
      <c r="H20" s="57"/>
      <c r="I20" s="57"/>
      <c r="J20" s="57"/>
      <c r="K20" s="57"/>
      <c r="L20" s="57" t="s">
        <v>38</v>
      </c>
      <c r="M20" s="57" t="s">
        <v>3</v>
      </c>
      <c r="N20" s="57" t="s">
        <v>39</v>
      </c>
      <c r="O20" s="57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>
      <c r="A21" s="54" t="s">
        <v>29</v>
      </c>
      <c r="B21" s="54">
        <v>200.0</v>
      </c>
      <c r="C21" s="54"/>
      <c r="D21" s="57"/>
      <c r="E21" s="57" t="s">
        <v>47</v>
      </c>
      <c r="F21" s="57"/>
      <c r="G21" s="57"/>
      <c r="H21" s="57"/>
      <c r="I21" s="57"/>
      <c r="J21" s="57"/>
      <c r="K21" s="57"/>
      <c r="L21" s="57" t="s">
        <v>38</v>
      </c>
      <c r="M21" s="57" t="s">
        <v>3</v>
      </c>
      <c r="N21" s="57" t="s">
        <v>39</v>
      </c>
      <c r="O21" s="57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>
      <c r="A22" s="54" t="s">
        <v>29</v>
      </c>
      <c r="B22" s="54">
        <v>210.0</v>
      </c>
      <c r="C22" s="54"/>
      <c r="D22" s="57"/>
      <c r="E22" s="57" t="s">
        <v>47</v>
      </c>
      <c r="F22" s="57"/>
      <c r="G22" s="57"/>
      <c r="H22" s="57"/>
      <c r="I22" s="57"/>
      <c r="J22" s="57"/>
      <c r="K22" s="57"/>
      <c r="L22" s="57" t="s">
        <v>38</v>
      </c>
      <c r="M22" s="57" t="s">
        <v>3</v>
      </c>
      <c r="N22" s="57" t="s">
        <v>39</v>
      </c>
      <c r="O22" s="57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>
      <c r="A23" s="54" t="s">
        <v>29</v>
      </c>
      <c r="B23" s="54">
        <v>220.0</v>
      </c>
      <c r="C23" s="54"/>
      <c r="D23" s="57"/>
      <c r="E23" s="57" t="s">
        <v>47</v>
      </c>
      <c r="F23" s="57"/>
      <c r="G23" s="57"/>
      <c r="H23" s="57"/>
      <c r="I23" s="57"/>
      <c r="J23" s="57"/>
      <c r="K23" s="57"/>
      <c r="L23" s="57" t="s">
        <v>38</v>
      </c>
      <c r="M23" s="57" t="s">
        <v>3</v>
      </c>
      <c r="N23" s="57" t="s">
        <v>39</v>
      </c>
      <c r="O23" s="57"/>
      <c r="P23" s="53"/>
      <c r="Q23" s="53"/>
      <c r="R23" s="53"/>
      <c r="S23" s="53"/>
      <c r="T23" s="53"/>
      <c r="U23" s="53"/>
      <c r="V23" s="53"/>
      <c r="W23" s="53"/>
      <c r="X23" s="53"/>
      <c r="Y23" s="53"/>
    </row>
    <row r="24">
      <c r="A24" s="54" t="s">
        <v>29</v>
      </c>
      <c r="B24" s="54">
        <v>230.0</v>
      </c>
      <c r="C24" s="54"/>
      <c r="D24" s="57"/>
      <c r="E24" s="57" t="s">
        <v>47</v>
      </c>
      <c r="F24" s="57"/>
      <c r="G24" s="57"/>
      <c r="H24" s="57"/>
      <c r="I24" s="57"/>
      <c r="J24" s="57"/>
      <c r="K24" s="57"/>
      <c r="L24" s="57" t="s">
        <v>38</v>
      </c>
      <c r="M24" s="57" t="s">
        <v>3</v>
      </c>
      <c r="N24" s="57" t="s">
        <v>39</v>
      </c>
      <c r="O24" s="57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>
      <c r="A25" s="54" t="s">
        <v>29</v>
      </c>
      <c r="B25" s="54">
        <v>240.0</v>
      </c>
      <c r="C25" s="54"/>
      <c r="D25" s="57"/>
      <c r="E25" s="57" t="s">
        <v>47</v>
      </c>
      <c r="F25" s="57"/>
      <c r="G25" s="57"/>
      <c r="H25" s="57"/>
      <c r="I25" s="57"/>
      <c r="J25" s="57"/>
      <c r="K25" s="57"/>
      <c r="L25" s="57" t="s">
        <v>38</v>
      </c>
      <c r="M25" s="57" t="s">
        <v>3</v>
      </c>
      <c r="N25" s="57" t="s">
        <v>39</v>
      </c>
      <c r="O25" s="57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>
      <c r="A26" s="54" t="s">
        <v>29</v>
      </c>
      <c r="B26" s="54">
        <v>250.0</v>
      </c>
      <c r="C26" s="54"/>
      <c r="D26" s="57"/>
      <c r="E26" s="57" t="s">
        <v>47</v>
      </c>
      <c r="F26" s="57"/>
      <c r="G26" s="57"/>
      <c r="H26" s="57"/>
      <c r="I26" s="57"/>
      <c r="J26" s="57"/>
      <c r="K26" s="57"/>
      <c r="L26" s="57" t="s">
        <v>38</v>
      </c>
      <c r="M26" s="57" t="s">
        <v>3</v>
      </c>
      <c r="N26" s="57" t="s">
        <v>39</v>
      </c>
      <c r="O26" s="57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>
      <c r="A27" s="54" t="s">
        <v>29</v>
      </c>
      <c r="B27" s="54">
        <v>260.0</v>
      </c>
      <c r="C27" s="54"/>
      <c r="D27" s="57"/>
      <c r="E27" s="57" t="s">
        <v>47</v>
      </c>
      <c r="F27" s="57"/>
      <c r="G27" s="57"/>
      <c r="H27" s="57"/>
      <c r="I27" s="57"/>
      <c r="J27" s="57"/>
      <c r="K27" s="57"/>
      <c r="L27" s="57" t="s">
        <v>113</v>
      </c>
      <c r="M27" s="57" t="s">
        <v>3</v>
      </c>
      <c r="N27" s="57" t="s">
        <v>39</v>
      </c>
      <c r="O27" s="57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>
      <c r="A28" s="54" t="s">
        <v>29</v>
      </c>
      <c r="B28" s="54">
        <v>270.0</v>
      </c>
      <c r="C28" s="54"/>
      <c r="D28" s="57"/>
      <c r="E28" s="57" t="s">
        <v>47</v>
      </c>
      <c r="F28" s="57"/>
      <c r="G28" s="57"/>
      <c r="H28" s="57"/>
      <c r="I28" s="57"/>
      <c r="J28" s="57"/>
      <c r="K28" s="57"/>
      <c r="L28" s="57" t="s">
        <v>38</v>
      </c>
      <c r="M28" s="57" t="s">
        <v>3</v>
      </c>
      <c r="N28" s="57" t="s">
        <v>39</v>
      </c>
      <c r="O28" s="57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>
      <c r="A29" s="54" t="s">
        <v>29</v>
      </c>
      <c r="B29" s="54">
        <v>280.0</v>
      </c>
      <c r="C29" s="54"/>
      <c r="D29" s="57"/>
      <c r="E29" s="57" t="s">
        <v>47</v>
      </c>
      <c r="F29" s="57"/>
      <c r="G29" s="57"/>
      <c r="H29" s="57"/>
      <c r="I29" s="57"/>
      <c r="J29" s="57"/>
      <c r="K29" s="57"/>
      <c r="L29" s="57" t="s">
        <v>38</v>
      </c>
      <c r="M29" s="57" t="s">
        <v>3</v>
      </c>
      <c r="N29" s="57" t="s">
        <v>39</v>
      </c>
      <c r="O29" s="57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>
      <c r="A30" s="54" t="s">
        <v>29</v>
      </c>
      <c r="B30" s="54">
        <v>290.0</v>
      </c>
      <c r="C30" s="54"/>
      <c r="D30" s="57"/>
      <c r="E30" s="57" t="s">
        <v>47</v>
      </c>
      <c r="F30" s="57"/>
      <c r="G30" s="57"/>
      <c r="H30" s="57"/>
      <c r="I30" s="57"/>
      <c r="J30" s="57"/>
      <c r="K30" s="57"/>
      <c r="L30" s="57" t="s">
        <v>38</v>
      </c>
      <c r="M30" s="57" t="s">
        <v>3</v>
      </c>
      <c r="N30" s="57" t="s">
        <v>39</v>
      </c>
      <c r="O30" s="57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>
      <c r="A31" s="54" t="s">
        <v>29</v>
      </c>
      <c r="B31" s="54">
        <v>300.0</v>
      </c>
      <c r="C31" s="54"/>
      <c r="D31" s="57"/>
      <c r="E31" s="57" t="s">
        <v>47</v>
      </c>
      <c r="F31" s="57"/>
      <c r="G31" s="57"/>
      <c r="H31" s="57"/>
      <c r="I31" s="57"/>
      <c r="J31" s="57"/>
      <c r="K31" s="57"/>
      <c r="L31" s="57" t="s">
        <v>38</v>
      </c>
      <c r="M31" s="57" t="s">
        <v>3</v>
      </c>
      <c r="N31" s="57" t="s">
        <v>147</v>
      </c>
      <c r="O31" s="57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>
      <c r="A32" s="54" t="s">
        <v>29</v>
      </c>
      <c r="B32" s="54">
        <v>310.0</v>
      </c>
      <c r="C32" s="54"/>
      <c r="D32" s="57"/>
      <c r="E32" s="57" t="s">
        <v>47</v>
      </c>
      <c r="F32" s="57"/>
      <c r="G32" s="57"/>
      <c r="H32" s="57"/>
      <c r="I32" s="57"/>
      <c r="J32" s="57"/>
      <c r="K32" s="57"/>
      <c r="L32" s="57" t="s">
        <v>38</v>
      </c>
      <c r="M32" s="57" t="s">
        <v>3</v>
      </c>
      <c r="N32" s="57" t="s">
        <v>39</v>
      </c>
      <c r="O32" s="57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>
      <c r="A33" s="54" t="s">
        <v>29</v>
      </c>
      <c r="B33" s="54">
        <v>320.0</v>
      </c>
      <c r="C33" s="54"/>
      <c r="D33" s="57"/>
      <c r="E33" s="57" t="s">
        <v>47</v>
      </c>
      <c r="F33" s="57"/>
      <c r="G33" s="57"/>
      <c r="H33" s="57"/>
      <c r="I33" s="57"/>
      <c r="J33" s="57"/>
      <c r="K33" s="57"/>
      <c r="L33" s="57" t="s">
        <v>38</v>
      </c>
      <c r="M33" s="57" t="s">
        <v>3</v>
      </c>
      <c r="N33" s="57" t="s">
        <v>39</v>
      </c>
      <c r="O33" s="57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>
      <c r="A34" s="54" t="s">
        <v>29</v>
      </c>
      <c r="B34" s="54">
        <v>330.0</v>
      </c>
      <c r="C34" s="54"/>
      <c r="D34" s="57"/>
      <c r="E34" s="57" t="s">
        <v>47</v>
      </c>
      <c r="F34" s="57"/>
      <c r="G34" s="57"/>
      <c r="H34" s="57"/>
      <c r="I34" s="57"/>
      <c r="J34" s="57"/>
      <c r="K34" s="57"/>
      <c r="L34" s="57" t="s">
        <v>38</v>
      </c>
      <c r="M34" s="57" t="s">
        <v>3</v>
      </c>
      <c r="N34" s="57" t="s">
        <v>39</v>
      </c>
      <c r="O34" s="57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>
      <c r="A35" s="54" t="s">
        <v>29</v>
      </c>
      <c r="B35" s="54">
        <v>340.0</v>
      </c>
      <c r="C35" s="54"/>
      <c r="D35" s="57"/>
      <c r="E35" s="57" t="s">
        <v>47</v>
      </c>
      <c r="F35" s="57"/>
      <c r="G35" s="57"/>
      <c r="H35" s="57"/>
      <c r="I35" s="57"/>
      <c r="J35" s="57"/>
      <c r="K35" s="57"/>
      <c r="L35" s="57" t="s">
        <v>38</v>
      </c>
      <c r="M35" s="57" t="s">
        <v>3</v>
      </c>
      <c r="N35" s="57" t="s">
        <v>147</v>
      </c>
      <c r="O35" s="57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>
      <c r="A36" s="54" t="s">
        <v>29</v>
      </c>
      <c r="B36" s="54">
        <v>350.0</v>
      </c>
      <c r="C36" s="54"/>
      <c r="D36" s="57"/>
      <c r="E36" s="57" t="s">
        <v>47</v>
      </c>
      <c r="F36" s="57"/>
      <c r="G36" s="57"/>
      <c r="H36" s="57"/>
      <c r="I36" s="57"/>
      <c r="J36" s="57"/>
      <c r="K36" s="57"/>
      <c r="L36" s="57" t="s">
        <v>38</v>
      </c>
      <c r="M36" s="57" t="s">
        <v>4</v>
      </c>
      <c r="N36" s="57" t="s">
        <v>39</v>
      </c>
      <c r="O36" s="57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>
      <c r="A37" s="54" t="s">
        <v>29</v>
      </c>
      <c r="B37" s="54">
        <v>360.0</v>
      </c>
      <c r="C37" s="54"/>
      <c r="D37" s="57"/>
      <c r="E37" s="57" t="s">
        <v>47</v>
      </c>
      <c r="F37" s="57"/>
      <c r="G37" s="57"/>
      <c r="H37" s="57"/>
      <c r="I37" s="57"/>
      <c r="J37" s="57"/>
      <c r="K37" s="57"/>
      <c r="L37" s="57" t="s">
        <v>38</v>
      </c>
      <c r="M37" s="57" t="s">
        <v>4</v>
      </c>
      <c r="N37" s="57" t="s">
        <v>39</v>
      </c>
      <c r="O37" s="57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>
      <c r="A38" s="54" t="s">
        <v>29</v>
      </c>
      <c r="B38" s="54">
        <v>370.0</v>
      </c>
      <c r="C38" s="54"/>
      <c r="D38" s="57"/>
      <c r="E38" s="57" t="s">
        <v>47</v>
      </c>
      <c r="F38" s="57"/>
      <c r="G38" s="57"/>
      <c r="H38" s="59"/>
      <c r="I38" s="57"/>
      <c r="J38" s="57"/>
      <c r="K38" s="57"/>
      <c r="L38" s="57" t="s">
        <v>38</v>
      </c>
      <c r="M38" s="57" t="s">
        <v>3</v>
      </c>
      <c r="N38" s="57" t="s">
        <v>39</v>
      </c>
      <c r="O38" s="57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>
      <c r="A39" s="54" t="s">
        <v>29</v>
      </c>
      <c r="B39" s="54">
        <v>380.0</v>
      </c>
      <c r="C39" s="54"/>
      <c r="D39" s="57"/>
      <c r="E39" s="57" t="s">
        <v>47</v>
      </c>
      <c r="F39" s="57"/>
      <c r="G39" s="57"/>
      <c r="H39" s="59"/>
      <c r="I39" s="57"/>
      <c r="J39" s="57"/>
      <c r="K39" s="59"/>
      <c r="L39" s="57" t="s">
        <v>38</v>
      </c>
      <c r="M39" s="57" t="s">
        <v>3</v>
      </c>
      <c r="N39" s="57" t="s">
        <v>147</v>
      </c>
      <c r="O39" s="57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>
      <c r="A40" s="54" t="s">
        <v>29</v>
      </c>
      <c r="B40" s="54">
        <v>390.0</v>
      </c>
      <c r="C40" s="54"/>
      <c r="D40" s="57"/>
      <c r="E40" s="57" t="s">
        <v>47</v>
      </c>
      <c r="F40" s="57"/>
      <c r="G40" s="57"/>
      <c r="H40" s="59"/>
      <c r="I40" s="57"/>
      <c r="J40" s="57"/>
      <c r="K40" s="59"/>
      <c r="L40" s="57" t="s">
        <v>38</v>
      </c>
      <c r="M40" s="57" t="s">
        <v>3</v>
      </c>
      <c r="N40" s="57" t="s">
        <v>147</v>
      </c>
      <c r="O40" s="57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>
      <c r="A41" s="54" t="s">
        <v>29</v>
      </c>
      <c r="B41" s="54">
        <v>400.0</v>
      </c>
      <c r="C41" s="54"/>
      <c r="D41" s="57"/>
      <c r="E41" s="57" t="s">
        <v>47</v>
      </c>
      <c r="F41" s="57"/>
      <c r="G41" s="57"/>
      <c r="H41" s="59"/>
      <c r="I41" s="57"/>
      <c r="J41" s="57"/>
      <c r="K41" s="59"/>
      <c r="L41" s="57" t="s">
        <v>38</v>
      </c>
      <c r="M41" s="57" t="s">
        <v>3</v>
      </c>
      <c r="N41" s="57" t="s">
        <v>147</v>
      </c>
      <c r="O41" s="57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>
      <c r="A42" s="54" t="s">
        <v>29</v>
      </c>
      <c r="B42" s="54">
        <v>410.0</v>
      </c>
      <c r="C42" s="54"/>
      <c r="D42" s="57"/>
      <c r="E42" s="57" t="s">
        <v>47</v>
      </c>
      <c r="F42" s="57"/>
      <c r="G42" s="57"/>
      <c r="H42" s="59"/>
      <c r="I42" s="57"/>
      <c r="J42" s="57"/>
      <c r="K42" s="59"/>
      <c r="L42" s="57" t="s">
        <v>38</v>
      </c>
      <c r="M42" s="57" t="s">
        <v>3</v>
      </c>
      <c r="N42" s="57" t="s">
        <v>147</v>
      </c>
      <c r="O42" s="57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>
      <c r="A43" s="54" t="s">
        <v>29</v>
      </c>
      <c r="B43" s="54">
        <v>420.0</v>
      </c>
      <c r="C43" s="54"/>
      <c r="D43" s="57"/>
      <c r="E43" s="57" t="s">
        <v>47</v>
      </c>
      <c r="F43" s="57"/>
      <c r="G43" s="57"/>
      <c r="H43" s="59"/>
      <c r="I43" s="57"/>
      <c r="J43" s="57"/>
      <c r="K43" s="59"/>
      <c r="L43" s="57" t="s">
        <v>38</v>
      </c>
      <c r="M43" s="57" t="s">
        <v>3</v>
      </c>
      <c r="N43" s="57" t="s">
        <v>147</v>
      </c>
      <c r="O43" s="57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>
      <c r="A44" s="54" t="s">
        <v>29</v>
      </c>
      <c r="B44" s="54">
        <v>430.0</v>
      </c>
      <c r="C44" s="54"/>
      <c r="D44" s="57"/>
      <c r="E44" s="57" t="s">
        <v>47</v>
      </c>
      <c r="F44" s="57"/>
      <c r="G44" s="57"/>
      <c r="H44" s="59"/>
      <c r="I44" s="57"/>
      <c r="J44" s="57"/>
      <c r="K44" s="59"/>
      <c r="L44" s="57" t="s">
        <v>38</v>
      </c>
      <c r="M44" s="57" t="s">
        <v>3</v>
      </c>
      <c r="N44" s="57" t="s">
        <v>147</v>
      </c>
      <c r="O44" s="57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>
      <c r="A45" s="54" t="s">
        <v>29</v>
      </c>
      <c r="B45" s="54">
        <v>440.0</v>
      </c>
      <c r="C45" s="54"/>
      <c r="D45" s="57"/>
      <c r="E45" s="57" t="s">
        <v>47</v>
      </c>
      <c r="F45" s="57"/>
      <c r="G45" s="57"/>
      <c r="H45" s="59"/>
      <c r="I45" s="57"/>
      <c r="J45" s="57"/>
      <c r="K45" s="59"/>
      <c r="L45" s="57" t="s">
        <v>38</v>
      </c>
      <c r="M45" s="57" t="s">
        <v>3</v>
      </c>
      <c r="N45" s="57" t="s">
        <v>147</v>
      </c>
      <c r="O45" s="57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>
      <c r="A46" s="54" t="s">
        <v>29</v>
      </c>
      <c r="B46" s="54">
        <v>450.0</v>
      </c>
      <c r="C46" s="54"/>
      <c r="D46" s="57"/>
      <c r="E46" s="57" t="s">
        <v>47</v>
      </c>
      <c r="F46" s="57"/>
      <c r="G46" s="57"/>
      <c r="H46" s="59"/>
      <c r="I46" s="57"/>
      <c r="J46" s="57"/>
      <c r="K46" s="59"/>
      <c r="L46" s="57" t="s">
        <v>38</v>
      </c>
      <c r="M46" s="57" t="s">
        <v>3</v>
      </c>
      <c r="N46" s="57" t="s">
        <v>147</v>
      </c>
      <c r="O46" s="57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>
      <c r="A47" s="54" t="s">
        <v>29</v>
      </c>
      <c r="B47" s="54">
        <v>460.0</v>
      </c>
      <c r="C47" s="54"/>
      <c r="D47" s="57"/>
      <c r="E47" s="57" t="s">
        <v>47</v>
      </c>
      <c r="F47" s="57"/>
      <c r="G47" s="57"/>
      <c r="H47" s="59"/>
      <c r="I47" s="57"/>
      <c r="J47" s="57"/>
      <c r="K47" s="59"/>
      <c r="L47" s="57" t="s">
        <v>38</v>
      </c>
      <c r="M47" s="57" t="s">
        <v>3</v>
      </c>
      <c r="N47" s="57" t="s">
        <v>147</v>
      </c>
      <c r="O47" s="57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>
      <c r="A48" s="54" t="s">
        <v>29</v>
      </c>
      <c r="B48" s="54">
        <v>470.0</v>
      </c>
      <c r="C48" s="54"/>
      <c r="D48" s="57"/>
      <c r="E48" s="57" t="s">
        <v>47</v>
      </c>
      <c r="F48" s="57"/>
      <c r="G48" s="57"/>
      <c r="H48" s="59"/>
      <c r="I48" s="57"/>
      <c r="J48" s="57"/>
      <c r="K48" s="59"/>
      <c r="L48" s="57" t="s">
        <v>38</v>
      </c>
      <c r="M48" s="57" t="s">
        <v>3</v>
      </c>
      <c r="N48" s="57" t="s">
        <v>39</v>
      </c>
      <c r="O48" s="57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>
      <c r="A49" s="54" t="s">
        <v>29</v>
      </c>
      <c r="B49" s="54">
        <v>480.0</v>
      </c>
      <c r="C49" s="54"/>
      <c r="D49" s="57"/>
      <c r="E49" s="57" t="s">
        <v>47</v>
      </c>
      <c r="F49" s="57"/>
      <c r="G49" s="57"/>
      <c r="H49" s="59"/>
      <c r="I49" s="57"/>
      <c r="J49" s="57"/>
      <c r="K49" s="59"/>
      <c r="L49" s="57" t="s">
        <v>38</v>
      </c>
      <c r="M49" s="57" t="s">
        <v>3</v>
      </c>
      <c r="N49" s="57" t="s">
        <v>39</v>
      </c>
      <c r="O49" s="57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>
      <c r="A50" s="54" t="s">
        <v>29</v>
      </c>
      <c r="B50" s="54">
        <v>490.0</v>
      </c>
      <c r="C50" s="54"/>
      <c r="D50" s="57"/>
      <c r="E50" s="57" t="s">
        <v>47</v>
      </c>
      <c r="F50" s="57"/>
      <c r="G50" s="57"/>
      <c r="H50" s="59"/>
      <c r="I50" s="57"/>
      <c r="J50" s="57"/>
      <c r="K50" s="59"/>
      <c r="L50" s="57" t="s">
        <v>38</v>
      </c>
      <c r="M50" s="57" t="s">
        <v>3</v>
      </c>
      <c r="N50" s="57" t="s">
        <v>39</v>
      </c>
      <c r="O50" s="57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>
      <c r="A51" s="54" t="s">
        <v>29</v>
      </c>
      <c r="B51" s="54">
        <v>500.0</v>
      </c>
      <c r="C51" s="54"/>
      <c r="D51" s="57"/>
      <c r="E51" s="57" t="s">
        <v>47</v>
      </c>
      <c r="F51" s="57"/>
      <c r="G51" s="57"/>
      <c r="H51" s="59"/>
      <c r="I51" s="57"/>
      <c r="J51" s="57"/>
      <c r="K51" s="59"/>
      <c r="L51" s="57" t="s">
        <v>38</v>
      </c>
      <c r="M51" s="57" t="s">
        <v>3</v>
      </c>
      <c r="N51" s="57" t="s">
        <v>39</v>
      </c>
      <c r="O51" s="57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>
      <c r="A52" s="54" t="s">
        <v>29</v>
      </c>
      <c r="B52" s="54">
        <v>510.0</v>
      </c>
      <c r="C52" s="54"/>
      <c r="D52" s="57"/>
      <c r="E52" s="57" t="s">
        <v>47</v>
      </c>
      <c r="F52" s="57"/>
      <c r="G52" s="57"/>
      <c r="H52" s="59"/>
      <c r="I52" s="57"/>
      <c r="J52" s="57"/>
      <c r="K52" s="59"/>
      <c r="L52" s="57" t="s">
        <v>38</v>
      </c>
      <c r="M52" s="57" t="s">
        <v>3</v>
      </c>
      <c r="N52" s="57" t="s">
        <v>39</v>
      </c>
      <c r="O52" s="57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>
      <c r="A53" s="54" t="s">
        <v>29</v>
      </c>
      <c r="B53" s="54">
        <v>520.0</v>
      </c>
      <c r="C53" s="54"/>
      <c r="D53" s="57"/>
      <c r="E53" s="57" t="s">
        <v>47</v>
      </c>
      <c r="F53" s="57"/>
      <c r="G53" s="57"/>
      <c r="H53" s="59"/>
      <c r="I53" s="57"/>
      <c r="J53" s="57"/>
      <c r="K53" s="59"/>
      <c r="L53" s="57" t="s">
        <v>38</v>
      </c>
      <c r="M53" s="57" t="s">
        <v>3</v>
      </c>
      <c r="N53" s="57" t="s">
        <v>39</v>
      </c>
      <c r="O53" s="57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>
      <c r="A54" s="54" t="s">
        <v>29</v>
      </c>
      <c r="B54" s="54">
        <v>530.0</v>
      </c>
      <c r="C54" s="54"/>
      <c r="D54" s="57"/>
      <c r="E54" s="57" t="s">
        <v>47</v>
      </c>
      <c r="F54" s="57"/>
      <c r="G54" s="57"/>
      <c r="H54" s="59"/>
      <c r="I54" s="57"/>
      <c r="J54" s="57"/>
      <c r="K54" s="59"/>
      <c r="L54" s="57" t="s">
        <v>38</v>
      </c>
      <c r="M54" s="57" t="s">
        <v>3</v>
      </c>
      <c r="N54" s="57" t="s">
        <v>39</v>
      </c>
      <c r="O54" s="57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>
      <c r="A55" s="54" t="s">
        <v>29</v>
      </c>
      <c r="B55" s="54">
        <v>540.0</v>
      </c>
      <c r="C55" s="54"/>
      <c r="D55" s="57"/>
      <c r="E55" s="57" t="s">
        <v>47</v>
      </c>
      <c r="F55" s="57"/>
      <c r="G55" s="57"/>
      <c r="H55" s="59"/>
      <c r="I55" s="57"/>
      <c r="J55" s="57"/>
      <c r="K55" s="59"/>
      <c r="L55" s="57" t="s">
        <v>38</v>
      </c>
      <c r="M55" s="57" t="s">
        <v>3</v>
      </c>
      <c r="N55" s="57" t="s">
        <v>39</v>
      </c>
      <c r="O55" s="57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ht="44.25" customHeight="1">
      <c r="A56" s="54" t="s">
        <v>29</v>
      </c>
      <c r="B56" s="54">
        <v>550.0</v>
      </c>
      <c r="C56" s="54"/>
      <c r="D56" s="57"/>
      <c r="E56" s="57" t="s">
        <v>47</v>
      </c>
      <c r="F56" s="57"/>
      <c r="G56" s="57"/>
      <c r="H56" s="59"/>
      <c r="I56" s="57"/>
      <c r="J56" s="57"/>
      <c r="K56" s="59"/>
      <c r="L56" s="57" t="s">
        <v>38</v>
      </c>
      <c r="M56" s="57" t="s">
        <v>3</v>
      </c>
      <c r="N56" s="57" t="s">
        <v>39</v>
      </c>
      <c r="O56" s="57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>
      <c r="A57" s="54" t="s">
        <v>29</v>
      </c>
      <c r="B57" s="54">
        <v>560.0</v>
      </c>
      <c r="C57" s="54"/>
      <c r="D57" s="57"/>
      <c r="E57" s="57" t="s">
        <v>47</v>
      </c>
      <c r="F57" s="57"/>
      <c r="G57" s="57"/>
      <c r="H57" s="59"/>
      <c r="I57" s="57"/>
      <c r="J57" s="57"/>
      <c r="K57" s="59"/>
      <c r="L57" s="57" t="s">
        <v>38</v>
      </c>
      <c r="M57" s="57" t="s">
        <v>3</v>
      </c>
      <c r="N57" s="57" t="s">
        <v>147</v>
      </c>
      <c r="O57" s="57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>
      <c r="A58" s="54" t="s">
        <v>29</v>
      </c>
      <c r="B58" s="54">
        <v>570.0</v>
      </c>
      <c r="C58" s="54"/>
      <c r="D58" s="57"/>
      <c r="E58" s="57" t="s">
        <v>47</v>
      </c>
      <c r="F58" s="57"/>
      <c r="G58" s="57"/>
      <c r="H58" s="60"/>
      <c r="I58" s="57"/>
      <c r="J58" s="57"/>
      <c r="K58" s="59"/>
      <c r="L58" s="57" t="s">
        <v>38</v>
      </c>
      <c r="M58" s="57" t="s">
        <v>6</v>
      </c>
      <c r="N58" s="57" t="s">
        <v>147</v>
      </c>
      <c r="O58" s="57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>
      <c r="A59" s="54" t="s">
        <v>29</v>
      </c>
      <c r="B59" s="54">
        <v>580.0</v>
      </c>
      <c r="C59" s="54"/>
      <c r="D59" s="57"/>
      <c r="E59" s="57" t="s">
        <v>47</v>
      </c>
      <c r="F59" s="57"/>
      <c r="G59" s="57"/>
      <c r="H59" s="61"/>
      <c r="I59" s="57"/>
      <c r="J59" s="57"/>
      <c r="K59" s="59"/>
      <c r="L59" s="57" t="s">
        <v>38</v>
      </c>
      <c r="M59" s="57" t="s">
        <v>6</v>
      </c>
      <c r="N59" s="57" t="s">
        <v>147</v>
      </c>
      <c r="O59" s="57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>
      <c r="A60" s="54" t="s">
        <v>29</v>
      </c>
      <c r="B60" s="54">
        <v>590.0</v>
      </c>
      <c r="C60" s="54"/>
      <c r="D60" s="57"/>
      <c r="E60" s="57" t="s">
        <v>47</v>
      </c>
      <c r="F60" s="57"/>
      <c r="G60" s="57"/>
      <c r="H60" s="61"/>
      <c r="I60" s="57"/>
      <c r="J60" s="57"/>
      <c r="K60" s="59"/>
      <c r="L60" s="57" t="s">
        <v>38</v>
      </c>
      <c r="M60" s="57" t="s">
        <v>6</v>
      </c>
      <c r="N60" s="57" t="s">
        <v>147</v>
      </c>
      <c r="O60" s="57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>
      <c r="A61" s="54" t="s">
        <v>29</v>
      </c>
      <c r="B61" s="54">
        <v>600.0</v>
      </c>
      <c r="C61" s="54"/>
      <c r="D61" s="57"/>
      <c r="E61" s="57" t="s">
        <v>47</v>
      </c>
      <c r="F61" s="57"/>
      <c r="G61" s="57"/>
      <c r="H61" s="61"/>
      <c r="I61" s="57"/>
      <c r="J61" s="57"/>
      <c r="K61" s="59"/>
      <c r="L61" s="57" t="s">
        <v>38</v>
      </c>
      <c r="M61" s="57" t="s">
        <v>6</v>
      </c>
      <c r="N61" s="57" t="s">
        <v>147</v>
      </c>
      <c r="O61" s="57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>
      <c r="A62" s="54" t="s">
        <v>29</v>
      </c>
      <c r="B62" s="54">
        <v>610.0</v>
      </c>
      <c r="C62" s="54"/>
      <c r="D62" s="57"/>
      <c r="E62" s="57" t="s">
        <v>47</v>
      </c>
      <c r="F62" s="57"/>
      <c r="G62" s="57"/>
      <c r="H62" s="61"/>
      <c r="I62" s="57"/>
      <c r="J62" s="57"/>
      <c r="K62" s="59"/>
      <c r="L62" s="57" t="s">
        <v>38</v>
      </c>
      <c r="M62" s="57" t="s">
        <v>6</v>
      </c>
      <c r="N62" s="57" t="s">
        <v>147</v>
      </c>
      <c r="O62" s="57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>
      <c r="A63" s="54" t="s">
        <v>29</v>
      </c>
      <c r="B63" s="54">
        <v>620.0</v>
      </c>
      <c r="C63" s="54"/>
      <c r="D63" s="57"/>
      <c r="E63" s="57" t="s">
        <v>47</v>
      </c>
      <c r="F63" s="57"/>
      <c r="G63" s="57"/>
      <c r="H63" s="57"/>
      <c r="I63" s="57"/>
      <c r="J63" s="57"/>
      <c r="K63" s="57"/>
      <c r="L63" s="57" t="s">
        <v>38</v>
      </c>
      <c r="M63" s="57" t="s">
        <v>3</v>
      </c>
      <c r="N63" s="57" t="s">
        <v>39</v>
      </c>
      <c r="O63" s="59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>
      <c r="A64" s="54" t="s">
        <v>29</v>
      </c>
      <c r="B64" s="54">
        <v>630.0</v>
      </c>
      <c r="C64" s="54"/>
      <c r="D64" s="57"/>
      <c r="E64" s="57" t="s">
        <v>47</v>
      </c>
      <c r="F64" s="57"/>
      <c r="G64" s="57"/>
      <c r="H64" s="57"/>
      <c r="I64" s="57"/>
      <c r="J64" s="57"/>
      <c r="K64" s="57"/>
      <c r="L64" s="57" t="s">
        <v>38</v>
      </c>
      <c r="M64" s="57" t="s">
        <v>3</v>
      </c>
      <c r="N64" s="57" t="s">
        <v>39</v>
      </c>
      <c r="O64" s="59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>
      <c r="A65" s="54" t="s">
        <v>29</v>
      </c>
      <c r="B65" s="54">
        <v>640.0</v>
      </c>
      <c r="C65" s="54"/>
      <c r="D65" s="57"/>
      <c r="E65" s="57" t="s">
        <v>47</v>
      </c>
      <c r="F65" s="57"/>
      <c r="G65" s="57"/>
      <c r="H65" s="57"/>
      <c r="I65" s="57"/>
      <c r="J65" s="57"/>
      <c r="K65" s="57"/>
      <c r="L65" s="57" t="s">
        <v>38</v>
      </c>
      <c r="M65" s="57" t="s">
        <v>3</v>
      </c>
      <c r="N65" s="57" t="s">
        <v>39</v>
      </c>
      <c r="O65" s="59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>
      <c r="A66" s="54" t="s">
        <v>29</v>
      </c>
      <c r="B66" s="54">
        <v>650.0</v>
      </c>
      <c r="C66" s="54"/>
      <c r="D66" s="57"/>
      <c r="E66" s="57" t="s">
        <v>47</v>
      </c>
      <c r="F66" s="57"/>
      <c r="G66" s="57"/>
      <c r="H66" s="57"/>
      <c r="I66" s="57"/>
      <c r="J66" s="57"/>
      <c r="K66" s="57"/>
      <c r="L66" s="57" t="s">
        <v>38</v>
      </c>
      <c r="M66" s="57" t="s">
        <v>3</v>
      </c>
      <c r="N66" s="57" t="s">
        <v>39</v>
      </c>
      <c r="O66" s="59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>
      <c r="A67" s="54" t="s">
        <v>29</v>
      </c>
      <c r="B67" s="54">
        <v>660.0</v>
      </c>
      <c r="C67" s="54"/>
      <c r="D67" s="57"/>
      <c r="E67" s="57" t="s">
        <v>47</v>
      </c>
      <c r="F67" s="57"/>
      <c r="G67" s="57"/>
      <c r="H67" s="57"/>
      <c r="I67" s="57"/>
      <c r="J67" s="57"/>
      <c r="K67" s="57"/>
      <c r="L67" s="57" t="s">
        <v>38</v>
      </c>
      <c r="M67" s="57" t="s">
        <v>3</v>
      </c>
      <c r="N67" s="57" t="s">
        <v>39</v>
      </c>
      <c r="O67" s="59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>
      <c r="A68" s="54" t="s">
        <v>29</v>
      </c>
      <c r="B68" s="54">
        <v>670.0</v>
      </c>
      <c r="C68" s="54"/>
      <c r="D68" s="57"/>
      <c r="E68" s="57" t="s">
        <v>47</v>
      </c>
      <c r="F68" s="57"/>
      <c r="G68" s="57"/>
      <c r="H68" s="57"/>
      <c r="I68" s="57"/>
      <c r="J68" s="57"/>
      <c r="K68" s="57"/>
      <c r="L68" s="57" t="s">
        <v>38</v>
      </c>
      <c r="M68" s="57" t="s">
        <v>3</v>
      </c>
      <c r="N68" s="57" t="s">
        <v>39</v>
      </c>
      <c r="O68" s="59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>
      <c r="A69" s="54" t="s">
        <v>29</v>
      </c>
      <c r="B69" s="54">
        <v>680.0</v>
      </c>
      <c r="C69" s="54"/>
      <c r="D69" s="57"/>
      <c r="E69" s="57" t="s">
        <v>47</v>
      </c>
      <c r="F69" s="57"/>
      <c r="G69" s="57"/>
      <c r="H69" s="57"/>
      <c r="I69" s="57"/>
      <c r="J69" s="57"/>
      <c r="K69" s="57"/>
      <c r="L69" s="57" t="s">
        <v>38</v>
      </c>
      <c r="M69" s="57" t="s">
        <v>3</v>
      </c>
      <c r="N69" s="57" t="s">
        <v>39</v>
      </c>
      <c r="O69" s="59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>
      <c r="A70" s="54" t="s">
        <v>29</v>
      </c>
      <c r="B70" s="54">
        <v>690.0</v>
      </c>
      <c r="C70" s="54"/>
      <c r="D70" s="57"/>
      <c r="E70" s="57" t="s">
        <v>47</v>
      </c>
      <c r="F70" s="57"/>
      <c r="G70" s="57"/>
      <c r="H70" s="57"/>
      <c r="I70" s="57"/>
      <c r="J70" s="57"/>
      <c r="K70" s="57"/>
      <c r="L70" s="57" t="s">
        <v>38</v>
      </c>
      <c r="M70" s="57" t="s">
        <v>3</v>
      </c>
      <c r="N70" s="57" t="s">
        <v>39</v>
      </c>
      <c r="O70" s="59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>
      <c r="A71" s="54" t="s">
        <v>29</v>
      </c>
      <c r="B71" s="54">
        <v>700.0</v>
      </c>
      <c r="C71" s="54"/>
      <c r="D71" s="57"/>
      <c r="E71" s="57" t="s">
        <v>47</v>
      </c>
      <c r="F71" s="57"/>
      <c r="G71" s="57"/>
      <c r="H71" s="57"/>
      <c r="I71" s="57"/>
      <c r="J71" s="57"/>
      <c r="K71" s="57"/>
      <c r="L71" s="57" t="s">
        <v>38</v>
      </c>
      <c r="M71" s="57" t="s">
        <v>3</v>
      </c>
      <c r="N71" s="57" t="s">
        <v>39</v>
      </c>
      <c r="O71" s="59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>
      <c r="A72" s="54" t="s">
        <v>29</v>
      </c>
      <c r="B72" s="54">
        <v>710.0</v>
      </c>
      <c r="C72" s="54"/>
      <c r="D72" s="57"/>
      <c r="E72" s="57" t="s">
        <v>47</v>
      </c>
      <c r="F72" s="57"/>
      <c r="G72" s="57"/>
      <c r="H72" s="57"/>
      <c r="I72" s="57"/>
      <c r="J72" s="57"/>
      <c r="K72" s="57"/>
      <c r="L72" s="57" t="s">
        <v>38</v>
      </c>
      <c r="M72" s="57" t="s">
        <v>3</v>
      </c>
      <c r="N72" s="57" t="s">
        <v>39</v>
      </c>
      <c r="O72" s="59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>
      <c r="A73" s="54" t="s">
        <v>29</v>
      </c>
      <c r="B73" s="54">
        <v>720.0</v>
      </c>
      <c r="C73" s="54"/>
      <c r="D73" s="57"/>
      <c r="E73" s="57" t="s">
        <v>47</v>
      </c>
      <c r="F73" s="57"/>
      <c r="G73" s="57"/>
      <c r="H73" s="57"/>
      <c r="I73" s="57"/>
      <c r="J73" s="57"/>
      <c r="K73" s="57"/>
      <c r="L73" s="57" t="s">
        <v>38</v>
      </c>
      <c r="M73" s="57" t="s">
        <v>3</v>
      </c>
      <c r="N73" s="57" t="s">
        <v>39</v>
      </c>
      <c r="O73" s="59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>
      <c r="A74" s="54" t="s">
        <v>29</v>
      </c>
      <c r="B74" s="54">
        <v>730.0</v>
      </c>
      <c r="C74" s="54"/>
      <c r="D74" s="57"/>
      <c r="E74" s="57" t="s">
        <v>47</v>
      </c>
      <c r="F74" s="57"/>
      <c r="G74" s="57"/>
      <c r="H74" s="57"/>
      <c r="I74" s="57"/>
      <c r="J74" s="57"/>
      <c r="K74" s="57"/>
      <c r="L74" s="57" t="s">
        <v>38</v>
      </c>
      <c r="M74" s="57" t="s">
        <v>3</v>
      </c>
      <c r="N74" s="57" t="s">
        <v>39</v>
      </c>
      <c r="O74" s="59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>
      <c r="A75" s="62"/>
      <c r="B75" s="63"/>
      <c r="C75" s="6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>
      <c r="A76" s="62"/>
      <c r="B76" s="63"/>
      <c r="C76" s="6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>
      <c r="A77" s="62"/>
      <c r="B77" s="63"/>
      <c r="C77" s="6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>
      <c r="A78" s="62"/>
      <c r="B78" s="63"/>
      <c r="C78" s="6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>
      <c r="A79" s="62"/>
      <c r="B79" s="63"/>
      <c r="C79" s="6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>
      <c r="A80" s="62"/>
      <c r="B80" s="63"/>
      <c r="C80" s="6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>
      <c r="A81" s="62"/>
      <c r="B81" s="63"/>
      <c r="C81" s="6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>
      <c r="A82" s="62"/>
      <c r="B82" s="63"/>
      <c r="C82" s="6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>
      <c r="A83" s="62"/>
      <c r="B83" s="63"/>
      <c r="C83" s="6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>
      <c r="A84" s="62"/>
      <c r="B84" s="63"/>
      <c r="C84" s="6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>
      <c r="A85" s="62"/>
      <c r="B85" s="63"/>
      <c r="C85" s="6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>
      <c r="A86" s="62"/>
      <c r="B86" s="63"/>
      <c r="C86" s="6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>
      <c r="A87" s="62"/>
      <c r="B87" s="63"/>
      <c r="C87" s="6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>
      <c r="A88" s="62"/>
      <c r="B88" s="63"/>
      <c r="C88" s="6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>
      <c r="A89" s="62"/>
      <c r="B89" s="63"/>
      <c r="C89" s="6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>
      <c r="A90" s="62"/>
      <c r="B90" s="63"/>
      <c r="C90" s="6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>
      <c r="A91" s="62"/>
      <c r="B91" s="63"/>
      <c r="C91" s="6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U91" s="53"/>
      <c r="V91" s="53"/>
      <c r="W91" s="53"/>
      <c r="X91" s="53"/>
      <c r="Y91" s="53"/>
    </row>
    <row r="92">
      <c r="A92" s="62"/>
      <c r="B92" s="63"/>
      <c r="C92" s="6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>
      <c r="A93" s="62"/>
      <c r="B93" s="63"/>
      <c r="C93" s="6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>
      <c r="A94" s="62"/>
      <c r="B94" s="63"/>
      <c r="C94" s="6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>
      <c r="A95" s="62"/>
      <c r="B95" s="63"/>
      <c r="C95" s="6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>
      <c r="A96" s="62"/>
      <c r="B96" s="63"/>
      <c r="C96" s="6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>
      <c r="A97" s="62"/>
      <c r="B97" s="63"/>
      <c r="C97" s="6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>
      <c r="A98" s="62"/>
      <c r="B98" s="63"/>
      <c r="C98" s="6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>
      <c r="A99" s="62"/>
      <c r="B99" s="63"/>
      <c r="C99" s="6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>
      <c r="A100" s="62"/>
      <c r="B100" s="63"/>
      <c r="C100" s="6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>
      <c r="A101" s="62"/>
      <c r="B101" s="63"/>
      <c r="C101" s="6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>
      <c r="A102" s="62"/>
      <c r="B102" s="63"/>
      <c r="C102" s="6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>
      <c r="A103" s="62"/>
      <c r="B103" s="63"/>
      <c r="C103" s="6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>
      <c r="A104" s="62"/>
      <c r="B104" s="63"/>
      <c r="C104" s="6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>
      <c r="A105" s="62"/>
      <c r="B105" s="63"/>
      <c r="C105" s="6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>
      <c r="A106" s="62"/>
      <c r="B106" s="63"/>
      <c r="C106" s="6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>
      <c r="A107" s="62"/>
      <c r="B107" s="63"/>
      <c r="C107" s="6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>
      <c r="A108" s="62"/>
      <c r="B108" s="63"/>
      <c r="C108" s="6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>
      <c r="A109" s="62"/>
      <c r="B109" s="63"/>
      <c r="C109" s="6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>
      <c r="A110" s="62"/>
      <c r="B110" s="63"/>
      <c r="C110" s="6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>
      <c r="A111" s="62"/>
      <c r="B111" s="63"/>
      <c r="C111" s="6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>
      <c r="A112" s="62"/>
      <c r="B112" s="63"/>
      <c r="C112" s="6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>
      <c r="A113" s="62"/>
      <c r="B113" s="63"/>
      <c r="C113" s="6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>
      <c r="A114" s="62"/>
      <c r="B114" s="63"/>
      <c r="C114" s="6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>
      <c r="A115" s="62"/>
      <c r="B115" s="63"/>
      <c r="C115" s="6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>
      <c r="A116" s="62"/>
      <c r="B116" s="63"/>
      <c r="C116" s="6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>
      <c r="A117" s="62"/>
      <c r="B117" s="63"/>
      <c r="C117" s="6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>
      <c r="A118" s="62"/>
      <c r="B118" s="63"/>
      <c r="C118" s="6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>
      <c r="A119" s="62"/>
      <c r="B119" s="63"/>
      <c r="C119" s="6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>
      <c r="A120" s="62"/>
      <c r="B120" s="63"/>
      <c r="C120" s="6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>
      <c r="A121" s="62"/>
      <c r="B121" s="63"/>
      <c r="C121" s="6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>
      <c r="A122" s="62"/>
      <c r="B122" s="63"/>
      <c r="C122" s="6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>
      <c r="A123" s="62"/>
      <c r="B123" s="63"/>
      <c r="C123" s="6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>
      <c r="A124" s="62"/>
      <c r="B124" s="63"/>
      <c r="C124" s="6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>
      <c r="A125" s="53"/>
      <c r="B125" s="53"/>
      <c r="C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>
      <c r="A126" s="53"/>
      <c r="B126" s="53"/>
      <c r="C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>
      <c r="A127" s="53"/>
      <c r="B127" s="53"/>
      <c r="C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>
      <c r="A128" s="53"/>
      <c r="B128" s="53"/>
      <c r="C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>
      <c r="A129" s="53"/>
      <c r="B129" s="53"/>
      <c r="C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>
      <c r="A130" s="53"/>
      <c r="B130" s="53"/>
      <c r="C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>
      <c r="A131" s="53"/>
      <c r="B131" s="53"/>
      <c r="C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>
      <c r="A132" s="53"/>
      <c r="B132" s="53"/>
      <c r="C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>
      <c r="A133" s="53"/>
      <c r="B133" s="53"/>
      <c r="C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>
      <c r="A134" s="53"/>
      <c r="B134" s="53"/>
      <c r="C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>
      <c r="A135" s="53"/>
      <c r="B135" s="53"/>
      <c r="C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>
      <c r="A136" s="53"/>
      <c r="B136" s="53"/>
      <c r="C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>
      <c r="A137" s="53"/>
      <c r="B137" s="53"/>
      <c r="C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>
      <c r="A138" s="53"/>
      <c r="B138" s="53"/>
      <c r="C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>
      <c r="A139" s="53"/>
      <c r="B139" s="53"/>
      <c r="C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>
      <c r="A140" s="53"/>
      <c r="B140" s="53"/>
      <c r="C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>
      <c r="A141" s="53"/>
      <c r="B141" s="53"/>
      <c r="C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>
      <c r="A142" s="53"/>
      <c r="B142" s="53"/>
      <c r="C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>
      <c r="A143" s="53"/>
      <c r="B143" s="53"/>
      <c r="C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>
      <c r="A144" s="53"/>
      <c r="B144" s="53"/>
      <c r="C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>
      <c r="A145" s="53"/>
      <c r="B145" s="53"/>
      <c r="C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>
      <c r="A146" s="53"/>
      <c r="B146" s="53"/>
      <c r="C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>
      <c r="A147" s="53"/>
      <c r="B147" s="53"/>
      <c r="C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>
      <c r="A148" s="53"/>
      <c r="B148" s="53"/>
      <c r="C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>
      <c r="A149" s="53"/>
      <c r="B149" s="53"/>
      <c r="C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>
      <c r="A150" s="53"/>
      <c r="B150" s="53"/>
      <c r="C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>
      <c r="A151" s="53"/>
      <c r="B151" s="53"/>
      <c r="C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>
      <c r="A152" s="53"/>
      <c r="B152" s="53"/>
      <c r="C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>
      <c r="A153" s="53"/>
      <c r="B153" s="53"/>
      <c r="C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>
      <c r="A154" s="53"/>
      <c r="B154" s="53"/>
      <c r="C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>
      <c r="A155" s="53"/>
      <c r="B155" s="53"/>
      <c r="C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>
      <c r="A156" s="53"/>
      <c r="B156" s="53"/>
      <c r="C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>
      <c r="A157" s="53"/>
      <c r="B157" s="53"/>
      <c r="C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>
      <c r="A158" s="53"/>
      <c r="B158" s="53"/>
      <c r="C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>
      <c r="A159" s="53"/>
      <c r="B159" s="53"/>
      <c r="C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>
      <c r="A160" s="53"/>
      <c r="B160" s="53"/>
      <c r="C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>
      <c r="A161" s="53"/>
      <c r="B161" s="53"/>
      <c r="C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>
      <c r="A162" s="53"/>
      <c r="B162" s="53"/>
      <c r="C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>
      <c r="A163" s="53"/>
      <c r="B163" s="53"/>
      <c r="C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>
      <c r="A164" s="53"/>
      <c r="B164" s="53"/>
      <c r="C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>
      <c r="A165" s="53"/>
      <c r="B165" s="53"/>
      <c r="C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>
      <c r="A166" s="53"/>
      <c r="B166" s="53"/>
      <c r="C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>
      <c r="A167" s="53"/>
      <c r="B167" s="53"/>
      <c r="C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>
      <c r="A168" s="53"/>
      <c r="B168" s="53"/>
      <c r="C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>
      <c r="A169" s="53"/>
      <c r="B169" s="53"/>
      <c r="C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>
      <c r="A170" s="53"/>
      <c r="B170" s="53"/>
      <c r="C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 ht="42.0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 ht="48.0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 ht="46.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 ht="34.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ht="45.0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 ht="46.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 ht="45.0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 ht="43.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 ht="37.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 ht="36.0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 ht="43.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 ht="39.0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 ht="39.0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 ht="42.0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 ht="42.0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 ht="42.0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 ht="36.0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 ht="37.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 ht="48.0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</row>
    <row r="206" ht="37.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 ht="58.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24"/>
      <c r="Q250" s="1"/>
      <c r="R250" s="64"/>
      <c r="S250" s="65"/>
      <c r="T250" s="65"/>
      <c r="U250" s="53"/>
      <c r="V250" s="53"/>
      <c r="W250" s="53"/>
      <c r="X250" s="53"/>
      <c r="Y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24"/>
      <c r="Q251" s="1"/>
      <c r="R251" s="64"/>
      <c r="S251" s="65"/>
      <c r="T251" s="65"/>
      <c r="U251" s="53"/>
      <c r="V251" s="53"/>
      <c r="W251" s="53"/>
      <c r="X251" s="53"/>
      <c r="Y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24"/>
      <c r="Q252" s="1"/>
      <c r="R252" s="64"/>
      <c r="S252" s="65"/>
      <c r="T252" s="65"/>
      <c r="U252" s="53"/>
      <c r="V252" s="53"/>
      <c r="W252" s="53"/>
      <c r="X252" s="53"/>
      <c r="Y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24"/>
      <c r="Q253" s="1"/>
      <c r="R253" s="64"/>
      <c r="S253" s="65"/>
      <c r="T253" s="65"/>
      <c r="U253" s="53"/>
      <c r="V253" s="53"/>
      <c r="W253" s="53"/>
      <c r="X253" s="53"/>
      <c r="Y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24"/>
      <c r="Q254" s="1"/>
      <c r="R254" s="64"/>
      <c r="S254" s="65"/>
      <c r="T254" s="65"/>
      <c r="U254" s="53"/>
      <c r="V254" s="53"/>
      <c r="W254" s="53"/>
      <c r="X254" s="53"/>
      <c r="Y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24"/>
      <c r="Q255" s="1"/>
      <c r="R255" s="64"/>
      <c r="S255" s="65"/>
      <c r="T255" s="65"/>
      <c r="U255" s="53"/>
      <c r="V255" s="53"/>
      <c r="W255" s="53"/>
      <c r="X255" s="53"/>
      <c r="Y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24"/>
      <c r="Q256" s="1"/>
      <c r="R256" s="64"/>
      <c r="S256" s="65"/>
      <c r="T256" s="65"/>
      <c r="U256" s="53"/>
      <c r="V256" s="53"/>
      <c r="W256" s="53"/>
      <c r="X256" s="53"/>
      <c r="Y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</row>
    <row r="615" ht="15.75" customHeight="1">
      <c r="P615" s="53"/>
      <c r="Q615" s="53"/>
      <c r="R615" s="53"/>
      <c r="S615" s="53"/>
      <c r="T615" s="53"/>
      <c r="U615" s="53"/>
      <c r="V615" s="53"/>
      <c r="W615" s="53"/>
      <c r="X615" s="53"/>
      <c r="Y615" s="53"/>
    </row>
    <row r="616" ht="15.75" customHeight="1">
      <c r="P616" s="53"/>
      <c r="Q616" s="53"/>
      <c r="R616" s="53"/>
      <c r="S616" s="53"/>
      <c r="T616" s="53"/>
      <c r="U616" s="53"/>
      <c r="V616" s="53"/>
      <c r="W616" s="53"/>
      <c r="X616" s="53"/>
      <c r="Y616" s="53"/>
    </row>
    <row r="617" ht="15.75" customHeight="1">
      <c r="P617" s="53"/>
      <c r="Q617" s="53"/>
      <c r="R617" s="53"/>
      <c r="S617" s="53"/>
      <c r="T617" s="53"/>
      <c r="U617" s="53"/>
      <c r="V617" s="53"/>
      <c r="W617" s="53"/>
      <c r="X617" s="53"/>
      <c r="Y617" s="53"/>
    </row>
    <row r="618" ht="15.75" customHeight="1">
      <c r="P618" s="53"/>
      <c r="Q618" s="53"/>
      <c r="R618" s="53"/>
      <c r="S618" s="53"/>
      <c r="T618" s="53"/>
      <c r="U618" s="53"/>
      <c r="V618" s="53"/>
      <c r="W618" s="53"/>
      <c r="X618" s="53"/>
      <c r="Y618" s="53"/>
    </row>
    <row r="619" ht="15.75" customHeight="1">
      <c r="P619" s="53"/>
      <c r="Q619" s="53"/>
      <c r="R619" s="53"/>
      <c r="S619" s="53"/>
      <c r="T619" s="53"/>
      <c r="U619" s="53"/>
      <c r="V619" s="53"/>
      <c r="W619" s="53"/>
      <c r="X619" s="53"/>
      <c r="Y619" s="53"/>
    </row>
    <row r="620" ht="15.75" customHeight="1">
      <c r="P620" s="53"/>
      <c r="Q620" s="53"/>
      <c r="R620" s="53"/>
      <c r="S620" s="53"/>
      <c r="T620" s="53"/>
      <c r="U620" s="53"/>
      <c r="V620" s="53"/>
      <c r="W620" s="53"/>
      <c r="X620" s="53"/>
      <c r="Y620" s="53"/>
    </row>
    <row r="621" ht="15.75" customHeight="1">
      <c r="P621" s="53"/>
      <c r="Q621" s="53"/>
      <c r="R621" s="53"/>
      <c r="S621" s="53"/>
      <c r="T621" s="53"/>
      <c r="U621" s="53"/>
      <c r="V621" s="53"/>
      <c r="W621" s="53"/>
      <c r="X621" s="53"/>
      <c r="Y621" s="53"/>
    </row>
    <row r="622" ht="15.75" customHeight="1">
      <c r="P622" s="53"/>
      <c r="Q622" s="53"/>
      <c r="R622" s="53"/>
      <c r="S622" s="53"/>
      <c r="T622" s="53"/>
      <c r="U622" s="53"/>
      <c r="V622" s="53"/>
      <c r="W622" s="53"/>
      <c r="X622" s="53"/>
      <c r="Y622" s="53"/>
    </row>
    <row r="623" ht="15.75" customHeight="1">
      <c r="P623" s="53"/>
      <c r="Q623" s="53"/>
      <c r="R623" s="53"/>
      <c r="S623" s="53"/>
      <c r="T623" s="53"/>
      <c r="U623" s="53"/>
      <c r="V623" s="53"/>
      <c r="W623" s="53"/>
      <c r="X623" s="53"/>
      <c r="Y623" s="53"/>
    </row>
    <row r="624" ht="15.75" customHeight="1">
      <c r="P624" s="53"/>
      <c r="Q624" s="53"/>
      <c r="R624" s="53"/>
      <c r="S624" s="53"/>
      <c r="T624" s="53"/>
      <c r="U624" s="53"/>
      <c r="V624" s="53"/>
      <c r="W624" s="53"/>
      <c r="X624" s="53"/>
      <c r="Y624" s="53"/>
    </row>
    <row r="625" ht="15.75" customHeight="1">
      <c r="P625" s="53"/>
      <c r="Q625" s="53"/>
      <c r="R625" s="53"/>
      <c r="S625" s="53"/>
      <c r="T625" s="53"/>
      <c r="U625" s="53"/>
      <c r="V625" s="53"/>
      <c r="W625" s="53"/>
      <c r="X625" s="53"/>
      <c r="Y625" s="53"/>
    </row>
    <row r="626" ht="15.75" customHeight="1">
      <c r="P626" s="53"/>
      <c r="Q626" s="53"/>
      <c r="R626" s="53"/>
      <c r="S626" s="53"/>
      <c r="T626" s="53"/>
      <c r="U626" s="53"/>
      <c r="V626" s="53"/>
      <c r="W626" s="53"/>
      <c r="X626" s="53"/>
      <c r="Y626" s="53"/>
    </row>
    <row r="627" ht="15.75" customHeight="1">
      <c r="P627" s="53"/>
      <c r="Q627" s="53"/>
      <c r="R627" s="53"/>
      <c r="S627" s="53"/>
      <c r="T627" s="53"/>
      <c r="U627" s="53"/>
      <c r="V627" s="53"/>
      <c r="W627" s="53"/>
      <c r="X627" s="53"/>
      <c r="Y627" s="53"/>
    </row>
    <row r="628" ht="15.75" customHeight="1">
      <c r="P628" s="53"/>
      <c r="Q628" s="53"/>
      <c r="R628" s="53"/>
      <c r="S628" s="53"/>
      <c r="T628" s="53"/>
      <c r="U628" s="53"/>
      <c r="V628" s="53"/>
      <c r="W628" s="53"/>
      <c r="X628" s="53"/>
      <c r="Y628" s="53"/>
    </row>
    <row r="629" ht="15.75" customHeight="1">
      <c r="P629" s="53"/>
      <c r="Q629" s="53"/>
      <c r="R629" s="53"/>
      <c r="S629" s="53"/>
      <c r="T629" s="53"/>
      <c r="U629" s="53"/>
      <c r="V629" s="53"/>
      <c r="W629" s="53"/>
      <c r="X629" s="53"/>
      <c r="Y629" s="53"/>
    </row>
    <row r="630" ht="15.75" customHeight="1">
      <c r="P630" s="53"/>
      <c r="Q630" s="53"/>
      <c r="R630" s="53"/>
      <c r="S630" s="53"/>
      <c r="T630" s="53"/>
      <c r="U630" s="53"/>
      <c r="V630" s="53"/>
      <c r="W630" s="53"/>
      <c r="X630" s="53"/>
      <c r="Y630" s="53"/>
    </row>
    <row r="631" ht="15.75" customHeight="1">
      <c r="P631" s="53"/>
      <c r="Q631" s="53"/>
      <c r="R631" s="53"/>
      <c r="S631" s="53"/>
      <c r="T631" s="53"/>
      <c r="U631" s="53"/>
      <c r="V631" s="53"/>
      <c r="W631" s="53"/>
      <c r="X631" s="53"/>
      <c r="Y631" s="53"/>
    </row>
    <row r="632" ht="15.75" customHeight="1">
      <c r="P632" s="53"/>
      <c r="Q632" s="53"/>
      <c r="R632" s="53"/>
      <c r="S632" s="53"/>
      <c r="T632" s="53"/>
      <c r="U632" s="53"/>
      <c r="V632" s="53"/>
      <c r="W632" s="53"/>
      <c r="X632" s="53"/>
      <c r="Y632" s="53"/>
    </row>
    <row r="633" ht="15.75" customHeight="1">
      <c r="P633" s="53"/>
      <c r="Q633" s="53"/>
      <c r="R633" s="53"/>
      <c r="S633" s="53"/>
      <c r="T633" s="53"/>
      <c r="U633" s="53"/>
      <c r="V633" s="53"/>
      <c r="W633" s="53"/>
      <c r="X633" s="53"/>
      <c r="Y633" s="53"/>
    </row>
    <row r="634" ht="15.75" customHeight="1">
      <c r="P634" s="53"/>
      <c r="Q634" s="53"/>
      <c r="R634" s="53"/>
      <c r="S634" s="53"/>
      <c r="T634" s="53"/>
      <c r="U634" s="53"/>
      <c r="V634" s="53"/>
      <c r="W634" s="53"/>
      <c r="X634" s="53"/>
      <c r="Y634" s="53"/>
    </row>
    <row r="635" ht="15.75" customHeight="1">
      <c r="P635" s="53"/>
      <c r="Q635" s="53"/>
      <c r="R635" s="53"/>
      <c r="S635" s="53"/>
      <c r="T635" s="53"/>
      <c r="U635" s="53"/>
      <c r="V635" s="53"/>
      <c r="W635" s="53"/>
      <c r="X635" s="53"/>
      <c r="Y635" s="53"/>
    </row>
    <row r="636" ht="15.75" customHeight="1">
      <c r="P636" s="53"/>
      <c r="Q636" s="53"/>
      <c r="R636" s="53"/>
      <c r="S636" s="53"/>
      <c r="T636" s="53"/>
      <c r="U636" s="53"/>
      <c r="V636" s="53"/>
      <c r="W636" s="53"/>
      <c r="X636" s="53"/>
      <c r="Y636" s="53"/>
    </row>
    <row r="637" ht="15.75" customHeight="1">
      <c r="P637" s="53"/>
      <c r="Q637" s="53"/>
      <c r="R637" s="53"/>
      <c r="S637" s="53"/>
      <c r="T637" s="53"/>
      <c r="U637" s="53"/>
      <c r="V637" s="53"/>
      <c r="W637" s="53"/>
      <c r="X637" s="53"/>
      <c r="Y637" s="53"/>
    </row>
    <row r="638" ht="15.75" customHeight="1">
      <c r="P638" s="53"/>
      <c r="Q638" s="53"/>
      <c r="R638" s="53"/>
      <c r="S638" s="53"/>
      <c r="T638" s="53"/>
      <c r="U638" s="53"/>
      <c r="V638" s="53"/>
      <c r="W638" s="53"/>
      <c r="X638" s="53"/>
      <c r="Y638" s="53"/>
    </row>
    <row r="639" ht="15.75" customHeight="1">
      <c r="P639" s="53"/>
      <c r="Q639" s="53"/>
      <c r="R639" s="53"/>
      <c r="S639" s="53"/>
      <c r="T639" s="53"/>
      <c r="U639" s="53"/>
      <c r="V639" s="53"/>
      <c r="W639" s="53"/>
      <c r="X639" s="53"/>
      <c r="Y639" s="53"/>
    </row>
    <row r="640" ht="15.75" customHeight="1">
      <c r="P640" s="53"/>
      <c r="Q640" s="53"/>
      <c r="R640" s="53"/>
      <c r="S640" s="53"/>
      <c r="T640" s="53"/>
      <c r="U640" s="53"/>
      <c r="V640" s="53"/>
      <c r="W640" s="53"/>
      <c r="X640" s="53"/>
      <c r="Y640" s="53"/>
    </row>
    <row r="641" ht="15.75" customHeight="1">
      <c r="P641" s="53"/>
      <c r="Q641" s="53"/>
      <c r="R641" s="53"/>
      <c r="S641" s="53"/>
      <c r="T641" s="53"/>
      <c r="U641" s="53"/>
      <c r="V641" s="53"/>
      <c r="W641" s="53"/>
      <c r="X641" s="53"/>
      <c r="Y641" s="53"/>
    </row>
    <row r="642" ht="15.75" customHeight="1">
      <c r="P642" s="53"/>
      <c r="Q642" s="53"/>
      <c r="R642" s="53"/>
      <c r="S642" s="53"/>
      <c r="T642" s="53"/>
      <c r="U642" s="53"/>
      <c r="V642" s="53"/>
      <c r="W642" s="53"/>
      <c r="X642" s="53"/>
      <c r="Y642" s="53"/>
    </row>
    <row r="643" ht="15.75" customHeight="1">
      <c r="P643" s="53"/>
      <c r="Q643" s="53"/>
      <c r="R643" s="53"/>
      <c r="S643" s="53"/>
      <c r="T643" s="53"/>
      <c r="U643" s="53"/>
      <c r="V643" s="53"/>
      <c r="W643" s="53"/>
      <c r="X643" s="53"/>
      <c r="Y643" s="53"/>
    </row>
    <row r="644" ht="15.75" customHeight="1">
      <c r="P644" s="53"/>
      <c r="Q644" s="53"/>
      <c r="R644" s="53"/>
      <c r="S644" s="53"/>
      <c r="T644" s="53"/>
      <c r="U644" s="53"/>
      <c r="V644" s="53"/>
      <c r="W644" s="53"/>
      <c r="X644" s="53"/>
      <c r="Y644" s="53"/>
    </row>
    <row r="645" ht="15.75" customHeight="1">
      <c r="P645" s="53"/>
      <c r="Q645" s="53"/>
      <c r="R645" s="53"/>
      <c r="S645" s="53"/>
      <c r="T645" s="53"/>
      <c r="U645" s="53"/>
      <c r="V645" s="53"/>
      <c r="W645" s="53"/>
      <c r="X645" s="53"/>
      <c r="Y645" s="53"/>
    </row>
    <row r="646" ht="15.75" customHeight="1">
      <c r="P646" s="53"/>
      <c r="Q646" s="53"/>
      <c r="R646" s="53"/>
      <c r="S646" s="53"/>
      <c r="T646" s="53"/>
      <c r="U646" s="53"/>
      <c r="V646" s="53"/>
      <c r="W646" s="53"/>
      <c r="X646" s="53"/>
      <c r="Y646" s="53"/>
    </row>
    <row r="647" ht="15.75" customHeight="1">
      <c r="P647" s="53"/>
      <c r="Q647" s="53"/>
      <c r="R647" s="53"/>
      <c r="S647" s="53"/>
      <c r="T647" s="53"/>
      <c r="U647" s="53"/>
      <c r="V647" s="53"/>
      <c r="W647" s="53"/>
      <c r="X647" s="53"/>
      <c r="Y647" s="53"/>
    </row>
    <row r="648" ht="15.75" customHeight="1">
      <c r="P648" s="53"/>
      <c r="Q648" s="53"/>
      <c r="R648" s="53"/>
      <c r="S648" s="53"/>
      <c r="T648" s="53"/>
      <c r="U648" s="53"/>
      <c r="V648" s="53"/>
      <c r="W648" s="53"/>
      <c r="X648" s="53"/>
      <c r="Y648" s="53"/>
    </row>
    <row r="649" ht="15.75" customHeight="1">
      <c r="P649" s="53"/>
      <c r="Q649" s="53"/>
      <c r="R649" s="53"/>
      <c r="S649" s="53"/>
      <c r="T649" s="53"/>
      <c r="U649" s="53"/>
      <c r="V649" s="53"/>
      <c r="W649" s="53"/>
      <c r="X649" s="53"/>
      <c r="Y649" s="53"/>
    </row>
    <row r="650" ht="15.75" customHeight="1">
      <c r="P650" s="53"/>
      <c r="Q650" s="53"/>
      <c r="R650" s="53"/>
      <c r="S650" s="53"/>
      <c r="T650" s="53"/>
      <c r="U650" s="53"/>
      <c r="V650" s="53"/>
      <c r="W650" s="53"/>
      <c r="X650" s="53"/>
      <c r="Y650" s="53"/>
    </row>
    <row r="651" ht="15.75" customHeight="1">
      <c r="P651" s="53"/>
      <c r="Q651" s="53"/>
      <c r="R651" s="53"/>
      <c r="S651" s="53"/>
      <c r="T651" s="53"/>
      <c r="U651" s="53"/>
      <c r="V651" s="53"/>
      <c r="W651" s="53"/>
      <c r="X651" s="53"/>
      <c r="Y651" s="53"/>
    </row>
    <row r="652" ht="15.75" customHeight="1">
      <c r="P652" s="53"/>
      <c r="Q652" s="53"/>
      <c r="R652" s="53"/>
      <c r="S652" s="53"/>
      <c r="T652" s="53"/>
      <c r="U652" s="53"/>
      <c r="V652" s="53"/>
      <c r="W652" s="53"/>
      <c r="X652" s="53"/>
      <c r="Y652" s="53"/>
    </row>
    <row r="653" ht="15.75" customHeight="1">
      <c r="P653" s="53"/>
      <c r="Q653" s="53"/>
      <c r="R653" s="53"/>
      <c r="S653" s="53"/>
      <c r="T653" s="53"/>
      <c r="U653" s="53"/>
      <c r="V653" s="53"/>
      <c r="W653" s="53"/>
      <c r="X653" s="53"/>
      <c r="Y653" s="53"/>
    </row>
    <row r="654" ht="15.75" customHeight="1">
      <c r="P654" s="53"/>
      <c r="Q654" s="53"/>
      <c r="R654" s="53"/>
      <c r="S654" s="53"/>
      <c r="T654" s="53"/>
      <c r="U654" s="53"/>
      <c r="V654" s="53"/>
      <c r="W654" s="53"/>
      <c r="X654" s="53"/>
      <c r="Y654" s="53"/>
    </row>
    <row r="655" ht="15.75" customHeight="1">
      <c r="P655" s="53"/>
      <c r="Q655" s="53"/>
      <c r="R655" s="53"/>
      <c r="S655" s="53"/>
      <c r="T655" s="53"/>
      <c r="U655" s="53"/>
      <c r="V655" s="53"/>
      <c r="W655" s="53"/>
      <c r="X655" s="53"/>
      <c r="Y655" s="53"/>
    </row>
    <row r="656" ht="15.75" customHeight="1">
      <c r="P656" s="53"/>
      <c r="Q656" s="53"/>
      <c r="R656" s="53"/>
      <c r="S656" s="53"/>
      <c r="T656" s="53"/>
      <c r="U656" s="53"/>
      <c r="V656" s="53"/>
      <c r="W656" s="53"/>
      <c r="X656" s="53"/>
      <c r="Y656" s="53"/>
    </row>
    <row r="657" ht="15.75" customHeight="1">
      <c r="P657" s="53"/>
      <c r="Q657" s="53"/>
      <c r="R657" s="53"/>
      <c r="S657" s="53"/>
      <c r="T657" s="53"/>
      <c r="U657" s="53"/>
      <c r="V657" s="53"/>
      <c r="W657" s="53"/>
      <c r="X657" s="53"/>
      <c r="Y657" s="53"/>
    </row>
    <row r="658" ht="15.75" customHeight="1">
      <c r="P658" s="53"/>
      <c r="Q658" s="53"/>
      <c r="R658" s="53"/>
      <c r="S658" s="53"/>
      <c r="T658" s="53"/>
      <c r="U658" s="53"/>
      <c r="V658" s="53"/>
      <c r="W658" s="53"/>
      <c r="X658" s="53"/>
      <c r="Y658" s="53"/>
    </row>
    <row r="659" ht="15.75" customHeight="1">
      <c r="P659" s="53"/>
      <c r="Q659" s="53"/>
      <c r="R659" s="53"/>
      <c r="S659" s="53"/>
      <c r="T659" s="53"/>
      <c r="U659" s="53"/>
      <c r="V659" s="53"/>
      <c r="W659" s="53"/>
      <c r="X659" s="53"/>
      <c r="Y659" s="53"/>
    </row>
    <row r="660" ht="15.75" customHeight="1">
      <c r="P660" s="53"/>
      <c r="Q660" s="53"/>
      <c r="R660" s="53"/>
      <c r="S660" s="53"/>
      <c r="T660" s="53"/>
      <c r="U660" s="53"/>
      <c r="V660" s="53"/>
      <c r="W660" s="53"/>
      <c r="X660" s="53"/>
      <c r="Y660" s="53"/>
    </row>
    <row r="661" ht="15.75" customHeight="1">
      <c r="P661" s="53"/>
      <c r="Q661" s="53"/>
      <c r="R661" s="53"/>
      <c r="S661" s="53"/>
      <c r="T661" s="53"/>
      <c r="U661" s="53"/>
      <c r="V661" s="53"/>
      <c r="W661" s="53"/>
      <c r="X661" s="53"/>
      <c r="Y661" s="53"/>
    </row>
    <row r="662" ht="15.75" customHeight="1">
      <c r="P662" s="53"/>
      <c r="Q662" s="53"/>
      <c r="R662" s="53"/>
      <c r="S662" s="53"/>
      <c r="T662" s="53"/>
      <c r="U662" s="53"/>
      <c r="V662" s="53"/>
      <c r="W662" s="53"/>
      <c r="X662" s="53"/>
      <c r="Y662" s="53"/>
    </row>
    <row r="663" ht="15.75" customHeight="1">
      <c r="P663" s="53"/>
      <c r="Q663" s="53"/>
      <c r="R663" s="53"/>
      <c r="S663" s="53"/>
      <c r="T663" s="53"/>
      <c r="U663" s="53"/>
      <c r="V663" s="53"/>
      <c r="W663" s="53"/>
      <c r="X663" s="53"/>
      <c r="Y663" s="53"/>
    </row>
    <row r="664" ht="15.75" customHeight="1">
      <c r="P664" s="53"/>
      <c r="Q664" s="53"/>
      <c r="R664" s="53"/>
      <c r="S664" s="53"/>
      <c r="T664" s="53"/>
      <c r="U664" s="53"/>
      <c r="V664" s="53"/>
      <c r="W664" s="53"/>
      <c r="X664" s="53"/>
      <c r="Y664" s="53"/>
    </row>
    <row r="665" ht="15.75" customHeight="1">
      <c r="P665" s="53"/>
      <c r="Q665" s="53"/>
      <c r="R665" s="53"/>
      <c r="S665" s="53"/>
      <c r="T665" s="53"/>
      <c r="U665" s="53"/>
      <c r="V665" s="53"/>
      <c r="W665" s="53"/>
      <c r="X665" s="53"/>
      <c r="Y665" s="53"/>
    </row>
    <row r="666" ht="15.75" customHeight="1">
      <c r="P666" s="53"/>
      <c r="Q666" s="53"/>
      <c r="R666" s="53"/>
      <c r="S666" s="53"/>
      <c r="T666" s="53"/>
      <c r="U666" s="53"/>
      <c r="V666" s="53"/>
      <c r="W666" s="53"/>
      <c r="X666" s="53"/>
      <c r="Y666" s="53"/>
    </row>
    <row r="667" ht="15.75" customHeight="1">
      <c r="P667" s="53"/>
      <c r="Q667" s="53"/>
      <c r="R667" s="53"/>
      <c r="S667" s="53"/>
      <c r="T667" s="53"/>
      <c r="U667" s="53"/>
      <c r="V667" s="53"/>
      <c r="W667" s="53"/>
      <c r="X667" s="53"/>
      <c r="Y667" s="53"/>
    </row>
    <row r="668" ht="15.75" customHeight="1">
      <c r="P668" s="53"/>
      <c r="Q668" s="53"/>
      <c r="R668" s="53"/>
      <c r="S668" s="53"/>
      <c r="T668" s="53"/>
      <c r="U668" s="53"/>
      <c r="V668" s="53"/>
      <c r="W668" s="53"/>
      <c r="X668" s="53"/>
      <c r="Y668" s="53"/>
    </row>
    <row r="669" ht="15.75" customHeight="1">
      <c r="P669" s="53"/>
      <c r="Q669" s="53"/>
      <c r="R669" s="53"/>
      <c r="S669" s="53"/>
      <c r="T669" s="53"/>
      <c r="U669" s="53"/>
      <c r="V669" s="53"/>
      <c r="W669" s="53"/>
      <c r="X669" s="53"/>
      <c r="Y669" s="53"/>
    </row>
    <row r="670" ht="15.75" customHeight="1">
      <c r="P670" s="53"/>
      <c r="Q670" s="53"/>
      <c r="R670" s="53"/>
      <c r="S670" s="53"/>
      <c r="T670" s="53"/>
      <c r="U670" s="53"/>
      <c r="V670" s="53"/>
      <c r="W670" s="53"/>
      <c r="X670" s="53"/>
      <c r="Y670" s="53"/>
    </row>
    <row r="671" ht="15.75" customHeight="1">
      <c r="P671" s="53"/>
      <c r="Q671" s="53"/>
      <c r="R671" s="53"/>
      <c r="S671" s="53"/>
      <c r="T671" s="53"/>
      <c r="U671" s="53"/>
      <c r="V671" s="53"/>
      <c r="W671" s="53"/>
      <c r="X671" s="53"/>
      <c r="Y671" s="53"/>
    </row>
    <row r="672" ht="15.75" customHeight="1">
      <c r="P672" s="53"/>
      <c r="Q672" s="53"/>
      <c r="R672" s="53"/>
      <c r="S672" s="53"/>
      <c r="T672" s="53"/>
      <c r="U672" s="53"/>
      <c r="V672" s="53"/>
      <c r="W672" s="53"/>
      <c r="X672" s="53"/>
      <c r="Y672" s="53"/>
    </row>
    <row r="673" ht="15.75" customHeight="1">
      <c r="P673" s="53"/>
      <c r="Q673" s="53"/>
      <c r="R673" s="53"/>
      <c r="S673" s="53"/>
      <c r="T673" s="53"/>
      <c r="U673" s="53"/>
      <c r="V673" s="53"/>
      <c r="W673" s="53"/>
      <c r="X673" s="53"/>
      <c r="Y673" s="53"/>
    </row>
    <row r="674" ht="15.75" customHeight="1">
      <c r="P674" s="53"/>
      <c r="Q674" s="53"/>
      <c r="R674" s="53"/>
      <c r="S674" s="53"/>
      <c r="T674" s="53"/>
      <c r="U674" s="53"/>
      <c r="V674" s="53"/>
      <c r="W674" s="53"/>
      <c r="X674" s="53"/>
      <c r="Y674" s="53"/>
    </row>
    <row r="675" ht="15.75" customHeight="1">
      <c r="P675" s="53"/>
      <c r="Q675" s="53"/>
      <c r="R675" s="53"/>
      <c r="S675" s="53"/>
      <c r="T675" s="53"/>
      <c r="U675" s="53"/>
      <c r="V675" s="53"/>
      <c r="W675" s="53"/>
      <c r="X675" s="53"/>
      <c r="Y675" s="53"/>
    </row>
    <row r="676" ht="15.75" customHeight="1">
      <c r="P676" s="53"/>
      <c r="Q676" s="53"/>
      <c r="R676" s="53"/>
      <c r="S676" s="53"/>
      <c r="T676" s="53"/>
      <c r="U676" s="53"/>
      <c r="V676" s="53"/>
      <c r="W676" s="53"/>
      <c r="X676" s="53"/>
      <c r="Y676" s="53"/>
    </row>
    <row r="677" ht="15.75" customHeight="1">
      <c r="P677" s="53"/>
      <c r="Q677" s="53"/>
      <c r="R677" s="53"/>
      <c r="S677" s="53"/>
      <c r="T677" s="53"/>
      <c r="U677" s="53"/>
      <c r="V677" s="53"/>
      <c r="W677" s="53"/>
      <c r="X677" s="53"/>
      <c r="Y677" s="53"/>
    </row>
    <row r="678" ht="15.75" customHeight="1">
      <c r="P678" s="53"/>
      <c r="Q678" s="53"/>
      <c r="R678" s="53"/>
      <c r="S678" s="53"/>
      <c r="T678" s="53"/>
      <c r="U678" s="53"/>
      <c r="V678" s="53"/>
      <c r="W678" s="53"/>
      <c r="X678" s="53"/>
      <c r="Y678" s="53"/>
    </row>
    <row r="679" ht="15.75" customHeight="1">
      <c r="P679" s="53"/>
      <c r="Q679" s="53"/>
      <c r="R679" s="53"/>
      <c r="S679" s="53"/>
      <c r="T679" s="53"/>
      <c r="U679" s="53"/>
      <c r="V679" s="53"/>
      <c r="W679" s="53"/>
      <c r="X679" s="53"/>
      <c r="Y679" s="53"/>
    </row>
    <row r="680" ht="15.75" customHeight="1">
      <c r="P680" s="53"/>
      <c r="Q680" s="53"/>
      <c r="R680" s="53"/>
      <c r="S680" s="53"/>
      <c r="T680" s="53"/>
      <c r="U680" s="53"/>
      <c r="V680" s="53"/>
      <c r="W680" s="53"/>
      <c r="X680" s="53"/>
      <c r="Y680" s="53"/>
    </row>
    <row r="681" ht="15.75" customHeight="1">
      <c r="P681" s="53"/>
      <c r="Q681" s="53"/>
      <c r="R681" s="53"/>
      <c r="S681" s="53"/>
      <c r="T681" s="53"/>
      <c r="U681" s="53"/>
      <c r="V681" s="53"/>
      <c r="W681" s="53"/>
      <c r="X681" s="53"/>
      <c r="Y681" s="53"/>
    </row>
    <row r="682" ht="15.75" customHeight="1">
      <c r="P682" s="53"/>
      <c r="Q682" s="53"/>
      <c r="R682" s="53"/>
      <c r="S682" s="53"/>
      <c r="T682" s="53"/>
      <c r="U682" s="53"/>
      <c r="V682" s="53"/>
      <c r="W682" s="53"/>
      <c r="X682" s="53"/>
      <c r="Y682" s="53"/>
    </row>
    <row r="683" ht="15.75" customHeight="1">
      <c r="P683" s="53"/>
      <c r="Q683" s="53"/>
      <c r="R683" s="53"/>
      <c r="S683" s="53"/>
      <c r="T683" s="53"/>
      <c r="U683" s="53"/>
      <c r="V683" s="53"/>
      <c r="W683" s="53"/>
      <c r="X683" s="53"/>
      <c r="Y683" s="53"/>
    </row>
    <row r="684" ht="15.75" customHeight="1">
      <c r="P684" s="53"/>
      <c r="Q684" s="53"/>
      <c r="R684" s="53"/>
      <c r="S684" s="53"/>
      <c r="T684" s="53"/>
      <c r="U684" s="53"/>
      <c r="V684" s="53"/>
      <c r="W684" s="53"/>
      <c r="X684" s="53"/>
      <c r="Y684" s="53"/>
    </row>
    <row r="685" ht="15.75" customHeight="1">
      <c r="P685" s="53"/>
      <c r="Q685" s="53"/>
      <c r="R685" s="53"/>
      <c r="S685" s="53"/>
      <c r="T685" s="53"/>
      <c r="U685" s="53"/>
      <c r="V685" s="53"/>
      <c r="W685" s="53"/>
      <c r="X685" s="53"/>
      <c r="Y685" s="53"/>
    </row>
    <row r="686" ht="15.75" customHeight="1">
      <c r="P686" s="53"/>
      <c r="Q686" s="53"/>
      <c r="R686" s="53"/>
      <c r="S686" s="53"/>
      <c r="T686" s="53"/>
      <c r="U686" s="53"/>
      <c r="V686" s="53"/>
      <c r="W686" s="53"/>
      <c r="X686" s="53"/>
      <c r="Y686" s="53"/>
    </row>
    <row r="687" ht="15.75" customHeight="1">
      <c r="P687" s="53"/>
      <c r="Q687" s="53"/>
      <c r="R687" s="53"/>
      <c r="S687" s="53"/>
      <c r="T687" s="53"/>
      <c r="U687" s="53"/>
      <c r="V687" s="53"/>
      <c r="W687" s="53"/>
      <c r="X687" s="53"/>
      <c r="Y687" s="53"/>
    </row>
    <row r="688" ht="15.75" customHeight="1">
      <c r="P688" s="53"/>
      <c r="Q688" s="53"/>
      <c r="R688" s="53"/>
      <c r="S688" s="53"/>
      <c r="T688" s="53"/>
      <c r="U688" s="53"/>
      <c r="V688" s="53"/>
      <c r="W688" s="53"/>
      <c r="X688" s="53"/>
      <c r="Y688" s="53"/>
    </row>
    <row r="689" ht="15.75" customHeight="1">
      <c r="P689" s="53"/>
      <c r="Q689" s="53"/>
      <c r="R689" s="53"/>
      <c r="S689" s="53"/>
      <c r="T689" s="53"/>
      <c r="U689" s="53"/>
      <c r="V689" s="53"/>
      <c r="W689" s="53"/>
      <c r="X689" s="53"/>
      <c r="Y689" s="53"/>
    </row>
    <row r="690" ht="15.75" customHeight="1">
      <c r="P690" s="53"/>
      <c r="Q690" s="53"/>
      <c r="R690" s="53"/>
      <c r="S690" s="53"/>
      <c r="T690" s="53"/>
      <c r="U690" s="53"/>
      <c r="V690" s="53"/>
      <c r="W690" s="53"/>
      <c r="X690" s="53"/>
      <c r="Y690" s="53"/>
    </row>
    <row r="691" ht="15.75" customHeight="1">
      <c r="P691" s="53"/>
      <c r="Q691" s="53"/>
      <c r="R691" s="53"/>
      <c r="S691" s="53"/>
      <c r="T691" s="53"/>
      <c r="U691" s="53"/>
      <c r="V691" s="53"/>
      <c r="W691" s="53"/>
      <c r="X691" s="53"/>
      <c r="Y691" s="53"/>
    </row>
    <row r="692" ht="15.75" customHeight="1">
      <c r="P692" s="53"/>
      <c r="Q692" s="53"/>
      <c r="R692" s="53"/>
      <c r="S692" s="53"/>
      <c r="T692" s="53"/>
      <c r="U692" s="53"/>
      <c r="V692" s="53"/>
      <c r="W692" s="53"/>
      <c r="X692" s="53"/>
      <c r="Y692" s="53"/>
    </row>
    <row r="693" ht="15.75" customHeight="1">
      <c r="P693" s="53"/>
      <c r="Q693" s="53"/>
      <c r="R693" s="53"/>
      <c r="S693" s="53"/>
      <c r="T693" s="53"/>
      <c r="U693" s="53"/>
      <c r="V693" s="53"/>
      <c r="W693" s="53"/>
      <c r="X693" s="53"/>
      <c r="Y693" s="53"/>
    </row>
    <row r="694" ht="15.75" customHeight="1">
      <c r="P694" s="53"/>
      <c r="Q694" s="53"/>
      <c r="R694" s="53"/>
      <c r="S694" s="53"/>
      <c r="T694" s="53"/>
      <c r="U694" s="53"/>
      <c r="V694" s="53"/>
      <c r="W694" s="53"/>
      <c r="X694" s="53"/>
      <c r="Y694" s="53"/>
    </row>
    <row r="695" ht="15.75" customHeight="1">
      <c r="P695" s="53"/>
      <c r="Q695" s="53"/>
      <c r="R695" s="53"/>
      <c r="S695" s="53"/>
      <c r="T695" s="53"/>
      <c r="U695" s="53"/>
      <c r="V695" s="53"/>
      <c r="W695" s="53"/>
      <c r="X695" s="53"/>
      <c r="Y695" s="53"/>
    </row>
    <row r="696" ht="15.75" customHeight="1">
      <c r="P696" s="53"/>
      <c r="Q696" s="53"/>
      <c r="R696" s="53"/>
      <c r="S696" s="53"/>
      <c r="T696" s="53"/>
      <c r="U696" s="53"/>
      <c r="V696" s="53"/>
      <c r="W696" s="53"/>
      <c r="X696" s="53"/>
      <c r="Y696" s="53"/>
    </row>
    <row r="697" ht="15.75" customHeight="1">
      <c r="P697" s="53"/>
      <c r="Q697" s="53"/>
      <c r="R697" s="53"/>
      <c r="S697" s="53"/>
      <c r="T697" s="53"/>
      <c r="U697" s="53"/>
      <c r="V697" s="53"/>
      <c r="W697" s="53"/>
      <c r="X697" s="53"/>
      <c r="Y697" s="53"/>
    </row>
    <row r="698" ht="15.75" customHeight="1">
      <c r="P698" s="53"/>
      <c r="Q698" s="53"/>
      <c r="R698" s="53"/>
      <c r="S698" s="53"/>
      <c r="T698" s="53"/>
      <c r="U698" s="53"/>
      <c r="V698" s="53"/>
      <c r="W698" s="53"/>
      <c r="X698" s="53"/>
      <c r="Y698" s="53"/>
    </row>
    <row r="699" ht="15.75" customHeight="1">
      <c r="P699" s="53"/>
      <c r="Q699" s="53"/>
      <c r="R699" s="53"/>
      <c r="S699" s="53"/>
      <c r="T699" s="53"/>
      <c r="U699" s="53"/>
      <c r="V699" s="53"/>
      <c r="W699" s="53"/>
      <c r="X699" s="53"/>
      <c r="Y699" s="53"/>
    </row>
    <row r="700" ht="15.75" customHeight="1">
      <c r="P700" s="53"/>
      <c r="Q700" s="53"/>
      <c r="R700" s="53"/>
      <c r="S700" s="53"/>
      <c r="T700" s="53"/>
      <c r="U700" s="53"/>
      <c r="V700" s="53"/>
      <c r="W700" s="53"/>
      <c r="X700" s="53"/>
      <c r="Y700" s="53"/>
    </row>
    <row r="701" ht="15.75" customHeight="1">
      <c r="P701" s="53"/>
      <c r="Q701" s="53"/>
      <c r="R701" s="53"/>
      <c r="S701" s="53"/>
      <c r="T701" s="53"/>
      <c r="U701" s="53"/>
      <c r="V701" s="53"/>
      <c r="W701" s="53"/>
      <c r="X701" s="53"/>
      <c r="Y701" s="53"/>
    </row>
    <row r="702" ht="15.75" customHeight="1">
      <c r="P702" s="53"/>
      <c r="Q702" s="53"/>
      <c r="R702" s="53"/>
      <c r="S702" s="53"/>
      <c r="T702" s="53"/>
      <c r="U702" s="53"/>
      <c r="V702" s="53"/>
      <c r="W702" s="53"/>
      <c r="X702" s="53"/>
      <c r="Y702" s="53"/>
    </row>
    <row r="703" ht="15.75" customHeight="1">
      <c r="P703" s="53"/>
      <c r="Q703" s="53"/>
      <c r="R703" s="53"/>
      <c r="S703" s="53"/>
      <c r="T703" s="53"/>
      <c r="U703" s="53"/>
      <c r="V703" s="53"/>
      <c r="W703" s="53"/>
      <c r="X703" s="53"/>
      <c r="Y703" s="53"/>
    </row>
    <row r="704" ht="15.75" customHeight="1">
      <c r="P704" s="53"/>
      <c r="Q704" s="53"/>
      <c r="R704" s="53"/>
      <c r="S704" s="53"/>
      <c r="T704" s="53"/>
      <c r="U704" s="53"/>
      <c r="V704" s="53"/>
      <c r="W704" s="53"/>
      <c r="X704" s="53"/>
      <c r="Y704" s="53"/>
    </row>
    <row r="705" ht="15.75" customHeight="1">
      <c r="P705" s="53"/>
      <c r="Q705" s="53"/>
      <c r="R705" s="53"/>
      <c r="S705" s="53"/>
      <c r="T705" s="53"/>
      <c r="U705" s="53"/>
      <c r="V705" s="53"/>
      <c r="W705" s="53"/>
      <c r="X705" s="53"/>
      <c r="Y705" s="53"/>
    </row>
    <row r="706" ht="15.75" customHeight="1">
      <c r="P706" s="53"/>
      <c r="Q706" s="53"/>
      <c r="R706" s="53"/>
      <c r="S706" s="53"/>
      <c r="T706" s="53"/>
      <c r="U706" s="53"/>
      <c r="V706" s="53"/>
      <c r="W706" s="53"/>
      <c r="X706" s="53"/>
      <c r="Y706" s="53"/>
    </row>
    <row r="707" ht="15.75" customHeight="1">
      <c r="P707" s="53"/>
      <c r="Q707" s="53"/>
      <c r="R707" s="53"/>
      <c r="S707" s="53"/>
      <c r="T707" s="53"/>
      <c r="U707" s="53"/>
      <c r="V707" s="53"/>
      <c r="W707" s="53"/>
      <c r="X707" s="53"/>
      <c r="Y707" s="53"/>
    </row>
    <row r="708" ht="15.75" customHeight="1">
      <c r="P708" s="53"/>
      <c r="Q708" s="53"/>
      <c r="R708" s="53"/>
      <c r="S708" s="53"/>
      <c r="T708" s="53"/>
      <c r="U708" s="53"/>
      <c r="V708" s="53"/>
      <c r="W708" s="53"/>
      <c r="X708" s="53"/>
      <c r="Y708" s="53"/>
    </row>
    <row r="709" ht="15.75" customHeight="1">
      <c r="P709" s="53"/>
      <c r="Q709" s="53"/>
      <c r="R709" s="53"/>
      <c r="S709" s="53"/>
      <c r="T709" s="53"/>
      <c r="U709" s="53"/>
      <c r="V709" s="53"/>
      <c r="W709" s="53"/>
      <c r="X709" s="53"/>
      <c r="Y709" s="53"/>
    </row>
    <row r="710" ht="15.75" customHeight="1">
      <c r="P710" s="53"/>
      <c r="Q710" s="53"/>
      <c r="R710" s="53"/>
      <c r="S710" s="53"/>
      <c r="T710" s="53"/>
      <c r="U710" s="53"/>
      <c r="V710" s="53"/>
      <c r="W710" s="53"/>
      <c r="X710" s="53"/>
      <c r="Y710" s="53"/>
    </row>
    <row r="711" ht="15.75" customHeight="1">
      <c r="P711" s="53"/>
      <c r="Q711" s="53"/>
      <c r="R711" s="53"/>
      <c r="S711" s="53"/>
      <c r="T711" s="53"/>
      <c r="U711" s="53"/>
      <c r="V711" s="53"/>
      <c r="W711" s="53"/>
      <c r="X711" s="53"/>
      <c r="Y711" s="53"/>
    </row>
    <row r="712" ht="15.75" customHeight="1">
      <c r="P712" s="53"/>
      <c r="Q712" s="53"/>
      <c r="R712" s="53"/>
      <c r="S712" s="53"/>
      <c r="T712" s="53"/>
      <c r="U712" s="53"/>
      <c r="V712" s="53"/>
      <c r="W712" s="53"/>
      <c r="X712" s="53"/>
      <c r="Y712" s="53"/>
    </row>
    <row r="713" ht="15.75" customHeight="1">
      <c r="P713" s="53"/>
      <c r="Q713" s="53"/>
      <c r="R713" s="53"/>
      <c r="S713" s="53"/>
      <c r="T713" s="53"/>
      <c r="U713" s="53"/>
      <c r="V713" s="53"/>
      <c r="W713" s="53"/>
      <c r="X713" s="53"/>
      <c r="Y713" s="53"/>
    </row>
    <row r="714" ht="15.75" customHeight="1">
      <c r="P714" s="53"/>
      <c r="Q714" s="53"/>
      <c r="R714" s="53"/>
      <c r="S714" s="53"/>
      <c r="T714" s="53"/>
      <c r="U714" s="53"/>
      <c r="V714" s="53"/>
      <c r="W714" s="53"/>
      <c r="X714" s="53"/>
      <c r="Y714" s="53"/>
    </row>
    <row r="715" ht="15.75" customHeight="1">
      <c r="P715" s="53"/>
      <c r="Q715" s="53"/>
      <c r="R715" s="53"/>
      <c r="S715" s="53"/>
      <c r="T715" s="53"/>
      <c r="U715" s="53"/>
      <c r="V715" s="53"/>
      <c r="W715" s="53"/>
      <c r="X715" s="53"/>
      <c r="Y715" s="53"/>
    </row>
    <row r="716" ht="15.75" customHeight="1">
      <c r="P716" s="53"/>
      <c r="Q716" s="53"/>
      <c r="R716" s="53"/>
      <c r="S716" s="53"/>
      <c r="T716" s="53"/>
      <c r="U716" s="53"/>
      <c r="V716" s="53"/>
      <c r="W716" s="53"/>
      <c r="X716" s="53"/>
      <c r="Y716" s="53"/>
    </row>
    <row r="717" ht="15.75" customHeight="1">
      <c r="P717" s="53"/>
      <c r="Q717" s="53"/>
      <c r="R717" s="53"/>
      <c r="S717" s="53"/>
      <c r="T717" s="53"/>
      <c r="U717" s="53"/>
      <c r="V717" s="53"/>
      <c r="W717" s="53"/>
      <c r="X717" s="53"/>
      <c r="Y717" s="53"/>
    </row>
    <row r="718" ht="15.75" customHeight="1">
      <c r="P718" s="53"/>
      <c r="Q718" s="53"/>
      <c r="R718" s="53"/>
      <c r="S718" s="53"/>
      <c r="T718" s="53"/>
      <c r="U718" s="53"/>
      <c r="V718" s="53"/>
      <c r="W718" s="53"/>
      <c r="X718" s="53"/>
      <c r="Y718" s="53"/>
    </row>
    <row r="719" ht="15.75" customHeight="1">
      <c r="P719" s="53"/>
      <c r="Q719" s="53"/>
      <c r="R719" s="53"/>
      <c r="S719" s="53"/>
      <c r="T719" s="53"/>
      <c r="U719" s="53"/>
      <c r="V719" s="53"/>
      <c r="W719" s="53"/>
      <c r="X719" s="53"/>
      <c r="Y719" s="53"/>
    </row>
    <row r="720" ht="15.75" customHeight="1">
      <c r="P720" s="53"/>
      <c r="Q720" s="53"/>
      <c r="R720" s="53"/>
      <c r="S720" s="53"/>
      <c r="T720" s="53"/>
      <c r="U720" s="53"/>
      <c r="V720" s="53"/>
      <c r="W720" s="53"/>
      <c r="X720" s="53"/>
      <c r="Y720" s="53"/>
    </row>
    <row r="721" ht="15.75" customHeight="1">
      <c r="P721" s="53"/>
      <c r="Q721" s="53"/>
      <c r="R721" s="53"/>
      <c r="S721" s="53"/>
      <c r="T721" s="53"/>
      <c r="U721" s="53"/>
      <c r="V721" s="53"/>
      <c r="W721" s="53"/>
      <c r="X721" s="53"/>
      <c r="Y721" s="53"/>
    </row>
    <row r="722" ht="15.75" customHeight="1">
      <c r="P722" s="53"/>
      <c r="Q722" s="53"/>
      <c r="R722" s="53"/>
      <c r="S722" s="53"/>
      <c r="T722" s="53"/>
      <c r="U722" s="53"/>
      <c r="V722" s="53"/>
      <c r="W722" s="53"/>
      <c r="X722" s="53"/>
      <c r="Y722" s="53"/>
    </row>
    <row r="723" ht="15.75" customHeight="1">
      <c r="P723" s="53"/>
      <c r="Q723" s="53"/>
      <c r="R723" s="53"/>
      <c r="S723" s="53"/>
      <c r="T723" s="53"/>
      <c r="U723" s="53"/>
      <c r="V723" s="53"/>
      <c r="W723" s="53"/>
      <c r="X723" s="53"/>
      <c r="Y723" s="53"/>
    </row>
    <row r="724" ht="15.75" customHeight="1">
      <c r="P724" s="53"/>
      <c r="Q724" s="53"/>
      <c r="R724" s="53"/>
      <c r="S724" s="53"/>
      <c r="T724" s="53"/>
      <c r="U724" s="53"/>
      <c r="V724" s="53"/>
      <c r="W724" s="53"/>
      <c r="X724" s="53"/>
      <c r="Y724" s="53"/>
    </row>
    <row r="725" ht="15.75" customHeight="1">
      <c r="P725" s="53"/>
      <c r="Q725" s="53"/>
      <c r="R725" s="53"/>
      <c r="S725" s="53"/>
      <c r="T725" s="53"/>
      <c r="U725" s="53"/>
      <c r="V725" s="53"/>
      <c r="W725" s="53"/>
      <c r="X725" s="53"/>
      <c r="Y725" s="53"/>
    </row>
    <row r="726" ht="15.75" customHeight="1">
      <c r="P726" s="53"/>
      <c r="Q726" s="53"/>
      <c r="R726" s="53"/>
      <c r="S726" s="53"/>
      <c r="T726" s="53"/>
      <c r="U726" s="53"/>
      <c r="V726" s="53"/>
      <c r="W726" s="53"/>
      <c r="X726" s="53"/>
      <c r="Y726" s="53"/>
    </row>
    <row r="727" ht="15.75" customHeight="1">
      <c r="P727" s="53"/>
      <c r="Q727" s="53"/>
      <c r="R727" s="53"/>
      <c r="S727" s="53"/>
      <c r="T727" s="53"/>
      <c r="U727" s="53"/>
      <c r="V727" s="53"/>
      <c r="W727" s="53"/>
      <c r="X727" s="53"/>
      <c r="Y727" s="53"/>
    </row>
    <row r="728" ht="15.75" customHeight="1">
      <c r="P728" s="53"/>
      <c r="Q728" s="53"/>
      <c r="R728" s="53"/>
      <c r="S728" s="53"/>
      <c r="T728" s="53"/>
      <c r="U728" s="53"/>
      <c r="V728" s="53"/>
      <c r="W728" s="53"/>
      <c r="X728" s="53"/>
      <c r="Y728" s="53"/>
    </row>
    <row r="729" ht="15.75" customHeight="1">
      <c r="P729" s="53"/>
      <c r="Q729" s="53"/>
      <c r="R729" s="53"/>
      <c r="S729" s="53"/>
      <c r="T729" s="53"/>
      <c r="U729" s="53"/>
      <c r="V729" s="53"/>
      <c r="W729" s="53"/>
      <c r="X729" s="53"/>
      <c r="Y729" s="53"/>
    </row>
    <row r="730" ht="15.75" customHeight="1">
      <c r="P730" s="53"/>
      <c r="Q730" s="53"/>
      <c r="R730" s="53"/>
      <c r="S730" s="53"/>
      <c r="T730" s="53"/>
      <c r="U730" s="53"/>
      <c r="V730" s="53"/>
      <c r="W730" s="53"/>
      <c r="X730" s="53"/>
      <c r="Y730" s="53"/>
    </row>
    <row r="731" ht="15.75" customHeight="1">
      <c r="P731" s="53"/>
      <c r="Q731" s="53"/>
      <c r="R731" s="53"/>
      <c r="S731" s="53"/>
      <c r="T731" s="53"/>
      <c r="U731" s="53"/>
      <c r="V731" s="53"/>
      <c r="W731" s="53"/>
      <c r="X731" s="53"/>
      <c r="Y731" s="53"/>
    </row>
    <row r="732" ht="15.75" customHeight="1">
      <c r="P732" s="53"/>
      <c r="Q732" s="53"/>
      <c r="R732" s="53"/>
      <c r="S732" s="53"/>
      <c r="T732" s="53"/>
      <c r="U732" s="53"/>
      <c r="V732" s="53"/>
      <c r="W732" s="53"/>
      <c r="X732" s="53"/>
      <c r="Y732" s="53"/>
    </row>
    <row r="733" ht="15.75" customHeight="1">
      <c r="P733" s="53"/>
      <c r="Q733" s="53"/>
      <c r="R733" s="53"/>
      <c r="S733" s="53"/>
      <c r="T733" s="53"/>
      <c r="U733" s="53"/>
      <c r="V733" s="53"/>
      <c r="W733" s="53"/>
      <c r="X733" s="53"/>
      <c r="Y733" s="53"/>
    </row>
    <row r="734" ht="15.75" customHeight="1">
      <c r="P734" s="53"/>
      <c r="Q734" s="53"/>
      <c r="R734" s="53"/>
      <c r="S734" s="53"/>
      <c r="T734" s="53"/>
      <c r="U734" s="53"/>
      <c r="V734" s="53"/>
      <c r="W734" s="53"/>
      <c r="X734" s="53"/>
      <c r="Y734" s="53"/>
    </row>
    <row r="735" ht="15.75" customHeight="1">
      <c r="P735" s="53"/>
      <c r="Q735" s="53"/>
      <c r="R735" s="53"/>
      <c r="S735" s="53"/>
      <c r="T735" s="53"/>
      <c r="U735" s="53"/>
      <c r="V735" s="53"/>
      <c r="W735" s="53"/>
      <c r="X735" s="53"/>
      <c r="Y735" s="53"/>
    </row>
    <row r="736" ht="15.75" customHeight="1">
      <c r="P736" s="53"/>
      <c r="Q736" s="53"/>
      <c r="R736" s="53"/>
      <c r="S736" s="53"/>
      <c r="T736" s="53"/>
      <c r="U736" s="53"/>
      <c r="V736" s="53"/>
      <c r="W736" s="53"/>
      <c r="X736" s="53"/>
      <c r="Y736" s="53"/>
    </row>
    <row r="737" ht="15.75" customHeight="1">
      <c r="P737" s="53"/>
      <c r="Q737" s="53"/>
      <c r="R737" s="53"/>
      <c r="S737" s="53"/>
      <c r="T737" s="53"/>
      <c r="U737" s="53"/>
      <c r="V737" s="53"/>
      <c r="W737" s="53"/>
      <c r="X737" s="53"/>
      <c r="Y737" s="53"/>
    </row>
    <row r="738" ht="15.75" customHeight="1">
      <c r="P738" s="53"/>
      <c r="Q738" s="53"/>
      <c r="R738" s="53"/>
      <c r="S738" s="53"/>
      <c r="T738" s="53"/>
      <c r="U738" s="53"/>
      <c r="V738" s="53"/>
      <c r="W738" s="53"/>
      <c r="X738" s="53"/>
      <c r="Y738" s="53"/>
    </row>
    <row r="739" ht="15.75" customHeight="1">
      <c r="P739" s="53"/>
      <c r="Q739" s="53"/>
      <c r="R739" s="53"/>
      <c r="S739" s="53"/>
      <c r="T739" s="53"/>
      <c r="U739" s="53"/>
      <c r="V739" s="53"/>
      <c r="W739" s="53"/>
      <c r="X739" s="53"/>
      <c r="Y739" s="53"/>
    </row>
    <row r="740" ht="15.75" customHeight="1">
      <c r="P740" s="53"/>
      <c r="Q740" s="53"/>
      <c r="R740" s="53"/>
      <c r="S740" s="53"/>
      <c r="T740" s="53"/>
      <c r="U740" s="53"/>
      <c r="V740" s="53"/>
      <c r="W740" s="53"/>
      <c r="X740" s="53"/>
      <c r="Y740" s="53"/>
    </row>
    <row r="741" ht="15.75" customHeight="1">
      <c r="P741" s="53"/>
      <c r="Q741" s="53"/>
      <c r="R741" s="53"/>
      <c r="S741" s="53"/>
      <c r="T741" s="53"/>
      <c r="U741" s="53"/>
      <c r="V741" s="53"/>
      <c r="W741" s="53"/>
      <c r="X741" s="53"/>
      <c r="Y741" s="53"/>
    </row>
    <row r="742" ht="15.75" customHeight="1">
      <c r="P742" s="53"/>
      <c r="Q742" s="53"/>
      <c r="R742" s="53"/>
      <c r="S742" s="53"/>
      <c r="T742" s="53"/>
      <c r="U742" s="53"/>
      <c r="V742" s="53"/>
      <c r="W742" s="53"/>
      <c r="X742" s="53"/>
      <c r="Y742" s="53"/>
    </row>
    <row r="743" ht="15.75" customHeight="1">
      <c r="P743" s="53"/>
      <c r="Q743" s="53"/>
      <c r="R743" s="53"/>
      <c r="S743" s="53"/>
      <c r="T743" s="53"/>
      <c r="U743" s="53"/>
      <c r="V743" s="53"/>
      <c r="W743" s="53"/>
      <c r="X743" s="53"/>
      <c r="Y743" s="53"/>
    </row>
    <row r="744" ht="15.75" customHeight="1">
      <c r="P744" s="53"/>
      <c r="Q744" s="53"/>
      <c r="R744" s="53"/>
      <c r="S744" s="53"/>
      <c r="T744" s="53"/>
      <c r="U744" s="53"/>
      <c r="V744" s="53"/>
      <c r="W744" s="53"/>
      <c r="X744" s="53"/>
      <c r="Y744" s="53"/>
    </row>
    <row r="745" ht="15.75" customHeight="1">
      <c r="P745" s="53"/>
      <c r="Q745" s="53"/>
      <c r="R745" s="53"/>
      <c r="S745" s="53"/>
      <c r="T745" s="53"/>
      <c r="U745" s="53"/>
      <c r="V745" s="53"/>
      <c r="W745" s="53"/>
      <c r="X745" s="53"/>
      <c r="Y745" s="53"/>
    </row>
    <row r="746" ht="15.75" customHeight="1">
      <c r="P746" s="53"/>
      <c r="Q746" s="53"/>
      <c r="R746" s="53"/>
      <c r="S746" s="53"/>
      <c r="T746" s="53"/>
      <c r="U746" s="53"/>
      <c r="V746" s="53"/>
      <c r="W746" s="53"/>
      <c r="X746" s="53"/>
      <c r="Y746" s="53"/>
    </row>
    <row r="747" ht="15.75" customHeight="1">
      <c r="P747" s="53"/>
      <c r="Q747" s="53"/>
      <c r="R747" s="53"/>
      <c r="S747" s="53"/>
      <c r="T747" s="53"/>
      <c r="U747" s="53"/>
      <c r="V747" s="53"/>
      <c r="W747" s="53"/>
      <c r="X747" s="53"/>
      <c r="Y747" s="53"/>
    </row>
    <row r="748" ht="15.75" customHeight="1">
      <c r="P748" s="53"/>
      <c r="Q748" s="53"/>
      <c r="R748" s="53"/>
      <c r="S748" s="53"/>
      <c r="T748" s="53"/>
      <c r="U748" s="53"/>
      <c r="V748" s="53"/>
      <c r="W748" s="53"/>
      <c r="X748" s="53"/>
      <c r="Y748" s="53"/>
    </row>
    <row r="749" ht="15.75" customHeight="1">
      <c r="P749" s="53"/>
      <c r="Q749" s="53"/>
      <c r="R749" s="53"/>
      <c r="S749" s="53"/>
      <c r="T749" s="53"/>
      <c r="U749" s="53"/>
      <c r="V749" s="53"/>
      <c r="W749" s="53"/>
      <c r="X749" s="53"/>
      <c r="Y749" s="53"/>
    </row>
    <row r="750" ht="15.75" customHeight="1">
      <c r="P750" s="53"/>
      <c r="Q750" s="53"/>
      <c r="R750" s="53"/>
      <c r="S750" s="53"/>
      <c r="T750" s="53"/>
      <c r="U750" s="53"/>
      <c r="V750" s="53"/>
      <c r="W750" s="53"/>
      <c r="X750" s="53"/>
      <c r="Y750" s="53"/>
    </row>
    <row r="751" ht="15.75" customHeight="1">
      <c r="P751" s="53"/>
      <c r="Q751" s="53"/>
      <c r="R751" s="53"/>
      <c r="S751" s="53"/>
      <c r="T751" s="53"/>
      <c r="U751" s="53"/>
      <c r="V751" s="53"/>
      <c r="W751" s="53"/>
      <c r="X751" s="53"/>
      <c r="Y751" s="53"/>
    </row>
    <row r="752" ht="15.75" customHeight="1">
      <c r="P752" s="53"/>
      <c r="Q752" s="53"/>
      <c r="R752" s="53"/>
      <c r="S752" s="53"/>
      <c r="T752" s="53"/>
      <c r="U752" s="53"/>
      <c r="V752" s="53"/>
      <c r="W752" s="53"/>
      <c r="X752" s="53"/>
      <c r="Y752" s="53"/>
    </row>
    <row r="753" ht="15.75" customHeight="1">
      <c r="P753" s="53"/>
      <c r="Q753" s="53"/>
      <c r="R753" s="53"/>
      <c r="S753" s="53"/>
      <c r="T753" s="53"/>
      <c r="U753" s="53"/>
      <c r="V753" s="53"/>
      <c r="W753" s="53"/>
      <c r="X753" s="53"/>
      <c r="Y753" s="53"/>
    </row>
    <row r="754" ht="15.75" customHeight="1">
      <c r="P754" s="53"/>
      <c r="Q754" s="53"/>
      <c r="R754" s="53"/>
      <c r="S754" s="53"/>
      <c r="T754" s="53"/>
      <c r="U754" s="53"/>
      <c r="V754" s="53"/>
      <c r="W754" s="53"/>
      <c r="X754" s="53"/>
      <c r="Y754" s="53"/>
    </row>
    <row r="755" ht="15.75" customHeight="1">
      <c r="P755" s="53"/>
      <c r="Q755" s="53"/>
      <c r="R755" s="53"/>
      <c r="S755" s="53"/>
      <c r="T755" s="53"/>
      <c r="U755" s="53"/>
      <c r="V755" s="53"/>
      <c r="W755" s="53"/>
      <c r="X755" s="53"/>
      <c r="Y755" s="53"/>
    </row>
    <row r="756" ht="15.75" customHeight="1">
      <c r="P756" s="53"/>
      <c r="Q756" s="53"/>
      <c r="R756" s="53"/>
      <c r="S756" s="53"/>
      <c r="T756" s="53"/>
      <c r="U756" s="53"/>
      <c r="V756" s="53"/>
      <c r="W756" s="53"/>
      <c r="X756" s="53"/>
      <c r="Y756" s="53"/>
    </row>
    <row r="757" ht="15.75" customHeight="1">
      <c r="P757" s="53"/>
      <c r="Q757" s="53"/>
      <c r="R757" s="53"/>
      <c r="S757" s="53"/>
      <c r="T757" s="53"/>
      <c r="U757" s="53"/>
      <c r="V757" s="53"/>
      <c r="W757" s="53"/>
      <c r="X757" s="53"/>
      <c r="Y757" s="53"/>
    </row>
    <row r="758" ht="15.75" customHeight="1">
      <c r="P758" s="53"/>
      <c r="Q758" s="53"/>
      <c r="R758" s="53"/>
      <c r="S758" s="53"/>
      <c r="T758" s="53"/>
      <c r="U758" s="53"/>
      <c r="V758" s="53"/>
      <c r="W758" s="53"/>
      <c r="X758" s="53"/>
      <c r="Y758" s="53"/>
    </row>
    <row r="759" ht="15.75" customHeight="1">
      <c r="P759" s="53"/>
      <c r="Q759" s="53"/>
      <c r="R759" s="53"/>
      <c r="S759" s="53"/>
      <c r="T759" s="53"/>
      <c r="U759" s="53"/>
      <c r="V759" s="53"/>
      <c r="W759" s="53"/>
      <c r="X759" s="53"/>
      <c r="Y759" s="53"/>
    </row>
    <row r="760" ht="15.75" customHeight="1">
      <c r="P760" s="53"/>
      <c r="Q760" s="53"/>
      <c r="R760" s="53"/>
      <c r="S760" s="53"/>
      <c r="T760" s="53"/>
      <c r="U760" s="53"/>
      <c r="V760" s="53"/>
      <c r="W760" s="53"/>
      <c r="X760" s="53"/>
      <c r="Y760" s="53"/>
    </row>
    <row r="761" ht="15.75" customHeight="1">
      <c r="P761" s="53"/>
      <c r="Q761" s="53"/>
      <c r="R761" s="53"/>
      <c r="S761" s="53"/>
      <c r="T761" s="53"/>
      <c r="U761" s="53"/>
      <c r="V761" s="53"/>
      <c r="W761" s="53"/>
      <c r="X761" s="53"/>
      <c r="Y761" s="53"/>
    </row>
    <row r="762" ht="15.75" customHeight="1">
      <c r="P762" s="53"/>
      <c r="Q762" s="53"/>
      <c r="R762" s="53"/>
      <c r="S762" s="53"/>
      <c r="T762" s="53"/>
      <c r="U762" s="53"/>
      <c r="V762" s="53"/>
      <c r="W762" s="53"/>
      <c r="X762" s="53"/>
      <c r="Y762" s="53"/>
    </row>
    <row r="763" ht="15.75" customHeight="1">
      <c r="P763" s="53"/>
      <c r="Q763" s="53"/>
      <c r="R763" s="53"/>
      <c r="S763" s="53"/>
      <c r="T763" s="53"/>
      <c r="U763" s="53"/>
      <c r="V763" s="53"/>
      <c r="W763" s="53"/>
      <c r="X763" s="53"/>
      <c r="Y763" s="53"/>
    </row>
    <row r="764" ht="15.75" customHeight="1">
      <c r="P764" s="53"/>
      <c r="Q764" s="53"/>
      <c r="R764" s="53"/>
      <c r="S764" s="53"/>
      <c r="T764" s="53"/>
      <c r="U764" s="53"/>
      <c r="V764" s="53"/>
      <c r="W764" s="53"/>
      <c r="X764" s="53"/>
      <c r="Y764" s="53"/>
    </row>
    <row r="765" ht="15.75" customHeight="1">
      <c r="P765" s="53"/>
      <c r="Q765" s="53"/>
      <c r="R765" s="53"/>
      <c r="S765" s="53"/>
      <c r="T765" s="53"/>
      <c r="U765" s="53"/>
      <c r="V765" s="53"/>
      <c r="W765" s="53"/>
      <c r="X765" s="53"/>
      <c r="Y765" s="53"/>
    </row>
    <row r="766" ht="15.75" customHeight="1">
      <c r="P766" s="53"/>
      <c r="Q766" s="53"/>
      <c r="R766" s="53"/>
      <c r="S766" s="53"/>
      <c r="T766" s="53"/>
      <c r="U766" s="53"/>
      <c r="V766" s="53"/>
      <c r="W766" s="53"/>
      <c r="X766" s="53"/>
      <c r="Y766" s="53"/>
    </row>
    <row r="767" ht="15.75" customHeight="1">
      <c r="P767" s="53"/>
      <c r="Q767" s="53"/>
      <c r="R767" s="53"/>
      <c r="S767" s="53"/>
      <c r="T767" s="53"/>
      <c r="U767" s="53"/>
      <c r="V767" s="53"/>
      <c r="W767" s="53"/>
      <c r="X767" s="53"/>
      <c r="Y767" s="53"/>
    </row>
    <row r="768" ht="15.75" customHeight="1">
      <c r="P768" s="53"/>
      <c r="Q768" s="53"/>
      <c r="R768" s="53"/>
      <c r="S768" s="53"/>
      <c r="T768" s="53"/>
      <c r="U768" s="53"/>
      <c r="V768" s="53"/>
      <c r="W768" s="53"/>
      <c r="X768" s="53"/>
      <c r="Y768" s="53"/>
    </row>
    <row r="769" ht="15.75" customHeight="1">
      <c r="P769" s="53"/>
      <c r="Q769" s="53"/>
      <c r="R769" s="53"/>
      <c r="S769" s="53"/>
      <c r="T769" s="53"/>
      <c r="U769" s="53"/>
      <c r="V769" s="53"/>
      <c r="W769" s="53"/>
      <c r="X769" s="53"/>
      <c r="Y769" s="53"/>
    </row>
    <row r="770" ht="15.75" customHeight="1">
      <c r="P770" s="53"/>
      <c r="Q770" s="53"/>
      <c r="R770" s="53"/>
      <c r="S770" s="53"/>
      <c r="T770" s="53"/>
      <c r="U770" s="53"/>
      <c r="V770" s="53"/>
      <c r="W770" s="53"/>
      <c r="X770" s="53"/>
      <c r="Y770" s="53"/>
    </row>
    <row r="771" ht="15.75" customHeight="1">
      <c r="P771" s="53"/>
      <c r="Q771" s="53"/>
      <c r="R771" s="53"/>
      <c r="S771" s="53"/>
      <c r="T771" s="53"/>
      <c r="U771" s="53"/>
      <c r="V771" s="53"/>
      <c r="W771" s="53"/>
      <c r="X771" s="53"/>
      <c r="Y771" s="53"/>
    </row>
    <row r="772" ht="15.75" customHeight="1">
      <c r="P772" s="53"/>
      <c r="Q772" s="53"/>
      <c r="R772" s="53"/>
      <c r="S772" s="53"/>
      <c r="T772" s="53"/>
      <c r="U772" s="53"/>
      <c r="V772" s="53"/>
      <c r="W772" s="53"/>
      <c r="X772" s="53"/>
      <c r="Y772" s="53"/>
    </row>
    <row r="773" ht="15.75" customHeight="1">
      <c r="P773" s="53"/>
      <c r="Q773" s="53"/>
      <c r="R773" s="53"/>
      <c r="S773" s="53"/>
      <c r="T773" s="53"/>
      <c r="U773" s="53"/>
      <c r="V773" s="53"/>
      <c r="W773" s="53"/>
      <c r="X773" s="53"/>
      <c r="Y773" s="53"/>
    </row>
    <row r="774" ht="15.75" customHeight="1">
      <c r="P774" s="53"/>
      <c r="Q774" s="53"/>
      <c r="R774" s="53"/>
      <c r="S774" s="53"/>
      <c r="T774" s="53"/>
      <c r="U774" s="53"/>
      <c r="V774" s="53"/>
      <c r="W774" s="53"/>
      <c r="X774" s="53"/>
      <c r="Y774" s="53"/>
    </row>
    <row r="775" ht="15.75" customHeight="1">
      <c r="P775" s="53"/>
      <c r="Q775" s="53"/>
      <c r="R775" s="53"/>
      <c r="S775" s="53"/>
      <c r="T775" s="53"/>
      <c r="U775" s="53"/>
      <c r="V775" s="53"/>
      <c r="W775" s="53"/>
      <c r="X775" s="53"/>
      <c r="Y775" s="53"/>
    </row>
    <row r="776" ht="15.75" customHeight="1">
      <c r="P776" s="53"/>
      <c r="Q776" s="53"/>
      <c r="R776" s="53"/>
      <c r="S776" s="53"/>
      <c r="T776" s="53"/>
      <c r="U776" s="53"/>
      <c r="V776" s="53"/>
      <c r="W776" s="53"/>
      <c r="X776" s="53"/>
      <c r="Y776" s="53"/>
    </row>
    <row r="777" ht="15.75" customHeight="1">
      <c r="P777" s="53"/>
      <c r="Q777" s="53"/>
      <c r="R777" s="53"/>
      <c r="S777" s="53"/>
      <c r="T777" s="53"/>
      <c r="U777" s="53"/>
      <c r="V777" s="53"/>
      <c r="W777" s="53"/>
      <c r="X777" s="53"/>
      <c r="Y777" s="53"/>
    </row>
    <row r="778" ht="15.75" customHeight="1">
      <c r="P778" s="53"/>
      <c r="Q778" s="53"/>
      <c r="R778" s="53"/>
      <c r="S778" s="53"/>
      <c r="T778" s="53"/>
      <c r="U778" s="53"/>
      <c r="V778" s="53"/>
      <c r="W778" s="53"/>
      <c r="X778" s="53"/>
      <c r="Y778" s="53"/>
    </row>
    <row r="779" ht="15.75" customHeight="1">
      <c r="P779" s="53"/>
      <c r="Q779" s="53"/>
      <c r="R779" s="53"/>
      <c r="S779" s="53"/>
      <c r="T779" s="53"/>
      <c r="U779" s="53"/>
      <c r="V779" s="53"/>
      <c r="W779" s="53"/>
      <c r="X779" s="53"/>
      <c r="Y779" s="53"/>
    </row>
    <row r="780" ht="15.75" customHeight="1">
      <c r="P780" s="53"/>
      <c r="Q780" s="53"/>
      <c r="R780" s="53"/>
      <c r="S780" s="53"/>
      <c r="T780" s="53"/>
      <c r="U780" s="53"/>
      <c r="V780" s="53"/>
      <c r="W780" s="53"/>
      <c r="X780" s="53"/>
      <c r="Y780" s="53"/>
    </row>
    <row r="781" ht="15.75" customHeight="1">
      <c r="P781" s="53"/>
      <c r="Q781" s="53"/>
      <c r="R781" s="53"/>
      <c r="S781" s="53"/>
      <c r="T781" s="53"/>
      <c r="U781" s="53"/>
      <c r="V781" s="53"/>
      <c r="W781" s="53"/>
      <c r="X781" s="53"/>
      <c r="Y781" s="53"/>
    </row>
    <row r="782" ht="15.75" customHeight="1">
      <c r="P782" s="53"/>
      <c r="Q782" s="53"/>
      <c r="R782" s="53"/>
      <c r="S782" s="53"/>
      <c r="T782" s="53"/>
      <c r="U782" s="53"/>
      <c r="V782" s="53"/>
      <c r="W782" s="53"/>
      <c r="X782" s="53"/>
      <c r="Y782" s="53"/>
    </row>
    <row r="783" ht="15.75" customHeight="1">
      <c r="P783" s="53"/>
      <c r="Q783" s="53"/>
      <c r="R783" s="53"/>
      <c r="S783" s="53"/>
      <c r="T783" s="53"/>
      <c r="U783" s="53"/>
      <c r="V783" s="53"/>
      <c r="W783" s="53"/>
      <c r="X783" s="53"/>
      <c r="Y783" s="53"/>
    </row>
    <row r="784" ht="15.75" customHeight="1">
      <c r="P784" s="53"/>
      <c r="Q784" s="53"/>
      <c r="R784" s="53"/>
      <c r="S784" s="53"/>
      <c r="T784" s="53"/>
      <c r="U784" s="53"/>
      <c r="V784" s="53"/>
      <c r="W784" s="53"/>
      <c r="X784" s="53"/>
      <c r="Y784" s="53"/>
    </row>
    <row r="785" ht="15.75" customHeight="1">
      <c r="P785" s="53"/>
      <c r="Q785" s="53"/>
      <c r="R785" s="53"/>
      <c r="S785" s="53"/>
      <c r="T785" s="53"/>
      <c r="U785" s="53"/>
      <c r="V785" s="53"/>
      <c r="W785" s="53"/>
      <c r="X785" s="53"/>
      <c r="Y785" s="53"/>
    </row>
    <row r="786" ht="15.75" customHeight="1">
      <c r="P786" s="53"/>
      <c r="Q786" s="53"/>
      <c r="R786" s="53"/>
      <c r="S786" s="53"/>
      <c r="T786" s="53"/>
      <c r="U786" s="53"/>
      <c r="V786" s="53"/>
      <c r="W786" s="53"/>
      <c r="X786" s="53"/>
      <c r="Y786" s="53"/>
    </row>
    <row r="787" ht="15.75" customHeight="1">
      <c r="P787" s="53"/>
      <c r="Q787" s="53"/>
      <c r="R787" s="53"/>
      <c r="S787" s="53"/>
      <c r="T787" s="53"/>
      <c r="U787" s="53"/>
      <c r="V787" s="53"/>
      <c r="W787" s="53"/>
      <c r="X787" s="53"/>
      <c r="Y787" s="53"/>
    </row>
    <row r="788" ht="15.75" customHeight="1">
      <c r="P788" s="53"/>
      <c r="Q788" s="53"/>
      <c r="R788" s="53"/>
      <c r="S788" s="53"/>
      <c r="T788" s="53"/>
      <c r="U788" s="53"/>
      <c r="V788" s="53"/>
      <c r="W788" s="53"/>
      <c r="X788" s="53"/>
      <c r="Y788" s="53"/>
    </row>
    <row r="789" ht="15.75" customHeight="1">
      <c r="P789" s="53"/>
      <c r="Q789" s="53"/>
      <c r="R789" s="53"/>
      <c r="S789" s="53"/>
      <c r="T789" s="53"/>
      <c r="U789" s="53"/>
      <c r="V789" s="53"/>
      <c r="W789" s="53"/>
      <c r="X789" s="53"/>
      <c r="Y789" s="53"/>
    </row>
    <row r="790" ht="15.75" customHeight="1">
      <c r="P790" s="53"/>
      <c r="Q790" s="53"/>
      <c r="R790" s="53"/>
      <c r="S790" s="53"/>
      <c r="T790" s="53"/>
      <c r="U790" s="53"/>
      <c r="V790" s="53"/>
      <c r="W790" s="53"/>
      <c r="X790" s="53"/>
      <c r="Y790" s="53"/>
    </row>
    <row r="791" ht="15.75" customHeight="1">
      <c r="P791" s="53"/>
      <c r="Q791" s="53"/>
      <c r="R791" s="53"/>
      <c r="S791" s="53"/>
      <c r="T791" s="53"/>
      <c r="U791" s="53"/>
      <c r="V791" s="53"/>
      <c r="W791" s="53"/>
      <c r="X791" s="53"/>
      <c r="Y791" s="53"/>
    </row>
    <row r="792" ht="15.75" customHeight="1">
      <c r="P792" s="53"/>
      <c r="Q792" s="53"/>
      <c r="R792" s="53"/>
      <c r="S792" s="53"/>
      <c r="T792" s="53"/>
      <c r="U792" s="53"/>
      <c r="V792" s="53"/>
      <c r="W792" s="53"/>
      <c r="X792" s="53"/>
      <c r="Y792" s="53"/>
    </row>
    <row r="793" ht="15.75" customHeight="1">
      <c r="P793" s="53"/>
      <c r="Q793" s="53"/>
      <c r="R793" s="53"/>
      <c r="S793" s="53"/>
      <c r="T793" s="53"/>
      <c r="U793" s="53"/>
      <c r="V793" s="53"/>
      <c r="W793" s="53"/>
      <c r="X793" s="53"/>
      <c r="Y793" s="53"/>
    </row>
    <row r="794" ht="15.75" customHeight="1">
      <c r="P794" s="53"/>
      <c r="Q794" s="53"/>
      <c r="R794" s="53"/>
      <c r="S794" s="53"/>
      <c r="T794" s="53"/>
      <c r="U794" s="53"/>
      <c r="V794" s="53"/>
      <c r="W794" s="53"/>
      <c r="X794" s="53"/>
      <c r="Y794" s="53"/>
    </row>
    <row r="795" ht="15.75" customHeight="1">
      <c r="P795" s="53"/>
      <c r="Q795" s="53"/>
      <c r="R795" s="53"/>
      <c r="S795" s="53"/>
      <c r="T795" s="53"/>
      <c r="U795" s="53"/>
      <c r="V795" s="53"/>
      <c r="W795" s="53"/>
      <c r="X795" s="53"/>
      <c r="Y795" s="53"/>
    </row>
    <row r="796" ht="15.75" customHeight="1">
      <c r="P796" s="53"/>
      <c r="Q796" s="53"/>
      <c r="R796" s="53"/>
      <c r="S796" s="53"/>
      <c r="T796" s="53"/>
      <c r="U796" s="53"/>
      <c r="V796" s="53"/>
      <c r="W796" s="53"/>
      <c r="X796" s="53"/>
      <c r="Y796" s="53"/>
    </row>
    <row r="797" ht="15.75" customHeight="1">
      <c r="P797" s="53"/>
      <c r="Q797" s="53"/>
      <c r="R797" s="53"/>
      <c r="S797" s="53"/>
      <c r="T797" s="53"/>
      <c r="U797" s="53"/>
      <c r="V797" s="53"/>
      <c r="W797" s="53"/>
      <c r="X797" s="53"/>
      <c r="Y797" s="53"/>
    </row>
    <row r="798" ht="15.75" customHeight="1">
      <c r="P798" s="53"/>
      <c r="Q798" s="53"/>
      <c r="R798" s="53"/>
      <c r="S798" s="53"/>
      <c r="T798" s="53"/>
      <c r="U798" s="53"/>
      <c r="V798" s="53"/>
      <c r="W798" s="53"/>
      <c r="X798" s="53"/>
      <c r="Y798" s="53"/>
    </row>
    <row r="799" ht="15.75" customHeight="1">
      <c r="P799" s="53"/>
      <c r="Q799" s="53"/>
      <c r="R799" s="53"/>
      <c r="S799" s="53"/>
      <c r="T799" s="53"/>
      <c r="U799" s="53"/>
      <c r="V799" s="53"/>
      <c r="W799" s="53"/>
      <c r="X799" s="53"/>
      <c r="Y799" s="53"/>
    </row>
    <row r="800" ht="15.75" customHeight="1">
      <c r="P800" s="53"/>
      <c r="Q800" s="53"/>
      <c r="R800" s="53"/>
      <c r="S800" s="53"/>
      <c r="T800" s="53"/>
      <c r="U800" s="53"/>
      <c r="V800" s="53"/>
      <c r="W800" s="53"/>
      <c r="X800" s="53"/>
      <c r="Y800" s="53"/>
    </row>
    <row r="801" ht="15.75" customHeight="1">
      <c r="P801" s="53"/>
      <c r="Q801" s="53"/>
      <c r="R801" s="53"/>
      <c r="S801" s="53"/>
      <c r="T801" s="53"/>
      <c r="U801" s="53"/>
      <c r="V801" s="53"/>
      <c r="W801" s="53"/>
      <c r="X801" s="53"/>
      <c r="Y801" s="53"/>
    </row>
    <row r="802" ht="15.75" customHeight="1">
      <c r="P802" s="53"/>
      <c r="Q802" s="53"/>
      <c r="R802" s="53"/>
      <c r="S802" s="53"/>
      <c r="T802" s="53"/>
      <c r="U802" s="53"/>
      <c r="V802" s="53"/>
      <c r="W802" s="53"/>
      <c r="X802" s="53"/>
      <c r="Y802" s="53"/>
    </row>
    <row r="803" ht="15.75" customHeight="1">
      <c r="P803" s="53"/>
      <c r="Q803" s="53"/>
      <c r="R803" s="53"/>
      <c r="S803" s="53"/>
      <c r="T803" s="53"/>
      <c r="U803" s="53"/>
      <c r="V803" s="53"/>
      <c r="W803" s="53"/>
      <c r="X803" s="53"/>
      <c r="Y803" s="53"/>
    </row>
    <row r="804" ht="15.75" customHeight="1">
      <c r="P804" s="53"/>
      <c r="Q804" s="53"/>
      <c r="R804" s="53"/>
      <c r="S804" s="53"/>
      <c r="T804" s="53"/>
      <c r="U804" s="53"/>
      <c r="V804" s="53"/>
      <c r="W804" s="53"/>
      <c r="X804" s="53"/>
      <c r="Y804" s="53"/>
    </row>
    <row r="805" ht="15.75" customHeight="1">
      <c r="P805" s="53"/>
      <c r="Q805" s="53"/>
      <c r="R805" s="53"/>
      <c r="S805" s="53"/>
      <c r="T805" s="53"/>
      <c r="U805" s="53"/>
      <c r="V805" s="53"/>
      <c r="W805" s="53"/>
      <c r="X805" s="53"/>
      <c r="Y805" s="53"/>
    </row>
    <row r="806" ht="15.75" customHeight="1">
      <c r="P806" s="53"/>
      <c r="Q806" s="53"/>
      <c r="R806" s="53"/>
      <c r="S806" s="53"/>
      <c r="T806" s="53"/>
      <c r="U806" s="53"/>
      <c r="V806" s="53"/>
      <c r="W806" s="53"/>
      <c r="X806" s="53"/>
      <c r="Y806" s="53"/>
    </row>
    <row r="807" ht="15.75" customHeight="1">
      <c r="P807" s="53"/>
      <c r="Q807" s="53"/>
      <c r="R807" s="53"/>
      <c r="S807" s="53"/>
      <c r="T807" s="53"/>
      <c r="U807" s="53"/>
      <c r="V807" s="53"/>
      <c r="W807" s="53"/>
      <c r="X807" s="53"/>
      <c r="Y807" s="53"/>
    </row>
    <row r="808" ht="15.75" customHeight="1">
      <c r="P808" s="53"/>
      <c r="Q808" s="53"/>
      <c r="R808" s="53"/>
      <c r="S808" s="53"/>
      <c r="T808" s="53"/>
      <c r="U808" s="53"/>
      <c r="V808" s="53"/>
      <c r="W808" s="53"/>
      <c r="X808" s="53"/>
      <c r="Y808" s="53"/>
    </row>
    <row r="809" ht="15.75" customHeight="1">
      <c r="P809" s="53"/>
      <c r="Q809" s="53"/>
      <c r="R809" s="53"/>
      <c r="S809" s="53"/>
      <c r="T809" s="53"/>
      <c r="U809" s="53"/>
      <c r="V809" s="53"/>
      <c r="W809" s="53"/>
      <c r="X809" s="53"/>
      <c r="Y809" s="53"/>
    </row>
    <row r="810" ht="15.75" customHeight="1">
      <c r="P810" s="53"/>
      <c r="Q810" s="53"/>
      <c r="R810" s="53"/>
      <c r="S810" s="53"/>
      <c r="T810" s="53"/>
      <c r="U810" s="53"/>
      <c r="V810" s="53"/>
      <c r="W810" s="53"/>
      <c r="X810" s="53"/>
      <c r="Y810" s="53"/>
    </row>
    <row r="811" ht="15.75" customHeight="1">
      <c r="P811" s="53"/>
      <c r="Q811" s="53"/>
      <c r="R811" s="53"/>
      <c r="S811" s="53"/>
      <c r="T811" s="53"/>
      <c r="U811" s="53"/>
      <c r="V811" s="53"/>
      <c r="W811" s="53"/>
      <c r="X811" s="53"/>
      <c r="Y811" s="53"/>
    </row>
    <row r="812" ht="15.75" customHeight="1">
      <c r="P812" s="53"/>
      <c r="Q812" s="53"/>
      <c r="R812" s="53"/>
      <c r="S812" s="53"/>
      <c r="T812" s="53"/>
      <c r="U812" s="53"/>
      <c r="V812" s="53"/>
      <c r="W812" s="53"/>
      <c r="X812" s="53"/>
      <c r="Y812" s="53"/>
    </row>
    <row r="813" ht="15.75" customHeight="1">
      <c r="P813" s="53"/>
      <c r="Q813" s="53"/>
      <c r="R813" s="53"/>
      <c r="S813" s="53"/>
      <c r="T813" s="53"/>
      <c r="U813" s="53"/>
      <c r="V813" s="53"/>
      <c r="W813" s="53"/>
      <c r="X813" s="53"/>
      <c r="Y813" s="53"/>
    </row>
    <row r="814" ht="15.75" customHeight="1">
      <c r="P814" s="53"/>
      <c r="Q814" s="53"/>
      <c r="R814" s="53"/>
      <c r="S814" s="53"/>
      <c r="T814" s="53"/>
      <c r="U814" s="53"/>
      <c r="V814" s="53"/>
      <c r="W814" s="53"/>
      <c r="X814" s="53"/>
      <c r="Y814" s="53"/>
    </row>
    <row r="815" ht="15.75" customHeight="1">
      <c r="P815" s="53"/>
      <c r="Q815" s="53"/>
      <c r="R815" s="53"/>
      <c r="S815" s="53"/>
      <c r="T815" s="53"/>
      <c r="U815" s="53"/>
      <c r="V815" s="53"/>
      <c r="W815" s="53"/>
      <c r="X815" s="53"/>
      <c r="Y815" s="53"/>
    </row>
    <row r="816" ht="15.75" customHeight="1">
      <c r="P816" s="53"/>
      <c r="Q816" s="53"/>
      <c r="R816" s="53"/>
      <c r="S816" s="53"/>
      <c r="T816" s="53"/>
      <c r="U816" s="53"/>
      <c r="V816" s="53"/>
      <c r="W816" s="53"/>
      <c r="X816" s="53"/>
      <c r="Y816" s="53"/>
    </row>
    <row r="817" ht="15.75" customHeight="1">
      <c r="P817" s="53"/>
      <c r="Q817" s="53"/>
      <c r="R817" s="53"/>
      <c r="S817" s="53"/>
      <c r="T817" s="53"/>
      <c r="U817" s="53"/>
      <c r="V817" s="53"/>
      <c r="W817" s="53"/>
      <c r="X817" s="53"/>
      <c r="Y817" s="53"/>
    </row>
    <row r="818" ht="15.75" customHeight="1">
      <c r="P818" s="53"/>
      <c r="Q818" s="53"/>
      <c r="R818" s="53"/>
      <c r="S818" s="53"/>
      <c r="T818" s="53"/>
      <c r="U818" s="53"/>
      <c r="V818" s="53"/>
      <c r="W818" s="53"/>
      <c r="X818" s="53"/>
      <c r="Y818" s="53"/>
    </row>
    <row r="819" ht="15.75" customHeight="1">
      <c r="P819" s="53"/>
      <c r="Q819" s="53"/>
      <c r="R819" s="53"/>
      <c r="S819" s="53"/>
      <c r="T819" s="53"/>
      <c r="U819" s="53"/>
      <c r="V819" s="53"/>
      <c r="W819" s="53"/>
      <c r="X819" s="53"/>
      <c r="Y819" s="53"/>
    </row>
    <row r="820" ht="15.75" customHeight="1">
      <c r="P820" s="53"/>
      <c r="Q820" s="53"/>
      <c r="R820" s="53"/>
      <c r="S820" s="53"/>
      <c r="T820" s="53"/>
      <c r="U820" s="53"/>
      <c r="V820" s="53"/>
      <c r="W820" s="53"/>
      <c r="X820" s="53"/>
      <c r="Y820" s="53"/>
    </row>
    <row r="821" ht="15.75" customHeight="1">
      <c r="P821" s="53"/>
      <c r="Q821" s="53"/>
      <c r="R821" s="53"/>
      <c r="S821" s="53"/>
      <c r="T821" s="53"/>
      <c r="U821" s="53"/>
      <c r="V821" s="53"/>
      <c r="W821" s="53"/>
      <c r="X821" s="53"/>
      <c r="Y821" s="53"/>
    </row>
    <row r="822" ht="15.75" customHeight="1">
      <c r="P822" s="53"/>
      <c r="Q822" s="53"/>
      <c r="R822" s="53"/>
      <c r="S822" s="53"/>
      <c r="T822" s="53"/>
      <c r="U822" s="53"/>
      <c r="V822" s="53"/>
      <c r="W822" s="53"/>
      <c r="X822" s="53"/>
      <c r="Y822" s="53"/>
    </row>
    <row r="823" ht="15.75" customHeight="1">
      <c r="P823" s="53"/>
      <c r="Q823" s="53"/>
      <c r="R823" s="53"/>
      <c r="S823" s="53"/>
      <c r="T823" s="53"/>
      <c r="U823" s="53"/>
      <c r="V823" s="53"/>
      <c r="W823" s="53"/>
      <c r="X823" s="53"/>
      <c r="Y823" s="53"/>
    </row>
    <row r="824" ht="15.75" customHeight="1">
      <c r="P824" s="53"/>
      <c r="Q824" s="53"/>
      <c r="R824" s="53"/>
      <c r="S824" s="53"/>
      <c r="T824" s="53"/>
      <c r="U824" s="53"/>
      <c r="V824" s="53"/>
      <c r="W824" s="53"/>
      <c r="X824" s="53"/>
      <c r="Y824" s="53"/>
    </row>
    <row r="825" ht="15.75" customHeight="1">
      <c r="P825" s="53"/>
      <c r="Q825" s="53"/>
      <c r="R825" s="53"/>
      <c r="S825" s="53"/>
      <c r="T825" s="53"/>
      <c r="U825" s="53"/>
      <c r="V825" s="53"/>
      <c r="W825" s="53"/>
      <c r="X825" s="53"/>
      <c r="Y825" s="53"/>
    </row>
    <row r="826" ht="15.75" customHeight="1">
      <c r="P826" s="53"/>
      <c r="Q826" s="53"/>
      <c r="R826" s="53"/>
      <c r="S826" s="53"/>
      <c r="T826" s="53"/>
      <c r="U826" s="53"/>
      <c r="V826" s="53"/>
      <c r="W826" s="53"/>
      <c r="X826" s="53"/>
      <c r="Y826" s="53"/>
    </row>
    <row r="827" ht="15.75" customHeight="1">
      <c r="P827" s="53"/>
      <c r="Q827" s="53"/>
      <c r="R827" s="53"/>
      <c r="S827" s="53"/>
      <c r="T827" s="53"/>
      <c r="U827" s="53"/>
      <c r="V827" s="53"/>
      <c r="W827" s="53"/>
      <c r="X827" s="53"/>
      <c r="Y827" s="53"/>
    </row>
    <row r="828" ht="15.75" customHeight="1">
      <c r="P828" s="53"/>
      <c r="Q828" s="53"/>
      <c r="R828" s="53"/>
      <c r="S828" s="53"/>
      <c r="T828" s="53"/>
      <c r="U828" s="53"/>
      <c r="V828" s="53"/>
      <c r="W828" s="53"/>
      <c r="X828" s="53"/>
      <c r="Y828" s="53"/>
    </row>
    <row r="829" ht="15.75" customHeight="1">
      <c r="P829" s="53"/>
      <c r="Q829" s="53"/>
      <c r="R829" s="53"/>
      <c r="S829" s="53"/>
      <c r="T829" s="53"/>
      <c r="U829" s="53"/>
      <c r="V829" s="53"/>
      <c r="W829" s="53"/>
      <c r="X829" s="53"/>
      <c r="Y829" s="53"/>
    </row>
    <row r="830" ht="15.75" customHeight="1">
      <c r="P830" s="53"/>
      <c r="Q830" s="53"/>
      <c r="R830" s="53"/>
      <c r="S830" s="53"/>
      <c r="T830" s="53"/>
      <c r="U830" s="53"/>
      <c r="V830" s="53"/>
      <c r="W830" s="53"/>
      <c r="X830" s="53"/>
      <c r="Y830" s="53"/>
    </row>
    <row r="831" ht="15.75" customHeight="1">
      <c r="P831" s="53"/>
      <c r="Q831" s="53"/>
      <c r="R831" s="53"/>
      <c r="S831" s="53"/>
      <c r="T831" s="53"/>
      <c r="U831" s="53"/>
      <c r="V831" s="53"/>
      <c r="W831" s="53"/>
      <c r="X831" s="53"/>
      <c r="Y831" s="53"/>
    </row>
    <row r="832" ht="15.75" customHeight="1">
      <c r="P832" s="53"/>
      <c r="Q832" s="53"/>
      <c r="R832" s="53"/>
      <c r="S832" s="53"/>
      <c r="T832" s="53"/>
      <c r="U832" s="53"/>
      <c r="V832" s="53"/>
      <c r="W832" s="53"/>
      <c r="X832" s="53"/>
      <c r="Y832" s="53"/>
    </row>
    <row r="833" ht="15.75" customHeight="1">
      <c r="P833" s="53"/>
      <c r="Q833" s="53"/>
      <c r="R833" s="53"/>
      <c r="S833" s="53"/>
      <c r="T833" s="53"/>
      <c r="U833" s="53"/>
      <c r="V833" s="53"/>
      <c r="W833" s="53"/>
      <c r="X833" s="53"/>
      <c r="Y833" s="53"/>
    </row>
    <row r="834" ht="15.75" customHeight="1">
      <c r="P834" s="53"/>
      <c r="Q834" s="53"/>
      <c r="R834" s="53"/>
      <c r="S834" s="53"/>
      <c r="T834" s="53"/>
      <c r="U834" s="53"/>
      <c r="V834" s="53"/>
      <c r="W834" s="53"/>
      <c r="X834" s="53"/>
      <c r="Y834" s="53"/>
    </row>
    <row r="835" ht="15.75" customHeight="1">
      <c r="P835" s="53"/>
      <c r="Q835" s="53"/>
      <c r="R835" s="53"/>
      <c r="S835" s="53"/>
      <c r="T835" s="53"/>
      <c r="U835" s="53"/>
      <c r="V835" s="53"/>
      <c r="W835" s="53"/>
      <c r="X835" s="53"/>
      <c r="Y835" s="53"/>
    </row>
    <row r="836" ht="15.75" customHeight="1">
      <c r="P836" s="53"/>
      <c r="Q836" s="53"/>
      <c r="R836" s="53"/>
      <c r="S836" s="53"/>
      <c r="T836" s="53"/>
      <c r="U836" s="53"/>
      <c r="V836" s="53"/>
      <c r="W836" s="53"/>
      <c r="X836" s="53"/>
      <c r="Y836" s="53"/>
    </row>
    <row r="837" ht="15.75" customHeight="1">
      <c r="P837" s="53"/>
      <c r="Q837" s="53"/>
      <c r="R837" s="53"/>
      <c r="S837" s="53"/>
      <c r="T837" s="53"/>
      <c r="U837" s="53"/>
      <c r="V837" s="53"/>
      <c r="W837" s="53"/>
      <c r="X837" s="53"/>
      <c r="Y837" s="53"/>
    </row>
    <row r="838" ht="15.75" customHeight="1">
      <c r="P838" s="53"/>
      <c r="Q838" s="53"/>
      <c r="R838" s="53"/>
      <c r="S838" s="53"/>
      <c r="T838" s="53"/>
      <c r="U838" s="53"/>
      <c r="V838" s="53"/>
      <c r="W838" s="53"/>
      <c r="X838" s="53"/>
      <c r="Y838" s="53"/>
    </row>
    <row r="839" ht="15.75" customHeight="1">
      <c r="P839" s="53"/>
      <c r="Q839" s="53"/>
      <c r="R839" s="53"/>
      <c r="S839" s="53"/>
      <c r="T839" s="53"/>
      <c r="U839" s="53"/>
      <c r="V839" s="53"/>
      <c r="W839" s="53"/>
      <c r="X839" s="53"/>
      <c r="Y839" s="53"/>
    </row>
    <row r="840" ht="15.75" customHeight="1">
      <c r="P840" s="53"/>
      <c r="Q840" s="53"/>
      <c r="R840" s="53"/>
      <c r="S840" s="53"/>
      <c r="T840" s="53"/>
      <c r="U840" s="53"/>
      <c r="V840" s="53"/>
      <c r="W840" s="53"/>
      <c r="X840" s="53"/>
      <c r="Y840" s="53"/>
    </row>
    <row r="841" ht="15.75" customHeight="1">
      <c r="P841" s="53"/>
      <c r="Q841" s="53"/>
      <c r="R841" s="53"/>
      <c r="S841" s="53"/>
      <c r="T841" s="53"/>
      <c r="U841" s="53"/>
      <c r="V841" s="53"/>
      <c r="W841" s="53"/>
      <c r="X841" s="53"/>
      <c r="Y841" s="53"/>
    </row>
    <row r="842" ht="15.75" customHeight="1">
      <c r="P842" s="53"/>
      <c r="Q842" s="53"/>
      <c r="R842" s="53"/>
      <c r="S842" s="53"/>
      <c r="T842" s="53"/>
      <c r="U842" s="53"/>
      <c r="V842" s="53"/>
      <c r="W842" s="53"/>
      <c r="X842" s="53"/>
      <c r="Y842" s="53"/>
    </row>
    <row r="843" ht="15.75" customHeight="1">
      <c r="P843" s="53"/>
      <c r="Q843" s="53"/>
      <c r="R843" s="53"/>
      <c r="S843" s="53"/>
      <c r="T843" s="53"/>
      <c r="U843" s="53"/>
      <c r="V843" s="53"/>
      <c r="W843" s="53"/>
      <c r="X843" s="53"/>
      <c r="Y843" s="53"/>
    </row>
    <row r="844" ht="15.75" customHeight="1">
      <c r="P844" s="53"/>
      <c r="Q844" s="53"/>
      <c r="R844" s="53"/>
      <c r="S844" s="53"/>
      <c r="T844" s="53"/>
      <c r="U844" s="53"/>
      <c r="V844" s="53"/>
      <c r="W844" s="53"/>
      <c r="X844" s="53"/>
      <c r="Y844" s="53"/>
    </row>
    <row r="845" ht="15.75" customHeight="1">
      <c r="P845" s="53"/>
      <c r="Q845" s="53"/>
      <c r="R845" s="53"/>
      <c r="S845" s="53"/>
      <c r="T845" s="53"/>
      <c r="U845" s="53"/>
      <c r="V845" s="53"/>
      <c r="W845" s="53"/>
      <c r="X845" s="53"/>
      <c r="Y845" s="53"/>
    </row>
    <row r="846" ht="15.75" customHeight="1">
      <c r="P846" s="53"/>
      <c r="Q846" s="53"/>
      <c r="R846" s="53"/>
      <c r="S846" s="53"/>
      <c r="T846" s="53"/>
      <c r="U846" s="53"/>
      <c r="V846" s="53"/>
      <c r="W846" s="53"/>
      <c r="X846" s="53"/>
      <c r="Y846" s="53"/>
    </row>
    <row r="847" ht="15.75" customHeight="1">
      <c r="P847" s="53"/>
      <c r="Q847" s="53"/>
      <c r="R847" s="53"/>
      <c r="S847" s="53"/>
      <c r="T847" s="53"/>
      <c r="U847" s="53"/>
      <c r="V847" s="53"/>
      <c r="W847" s="53"/>
      <c r="X847" s="53"/>
      <c r="Y847" s="53"/>
    </row>
    <row r="848" ht="15.75" customHeight="1">
      <c r="P848" s="53"/>
      <c r="Q848" s="53"/>
      <c r="R848" s="53"/>
      <c r="S848" s="53"/>
      <c r="T848" s="53"/>
      <c r="U848" s="53"/>
      <c r="V848" s="53"/>
      <c r="W848" s="53"/>
      <c r="X848" s="53"/>
      <c r="Y848" s="53"/>
    </row>
    <row r="849" ht="15.75" customHeight="1">
      <c r="P849" s="53"/>
      <c r="Q849" s="53"/>
      <c r="R849" s="53"/>
      <c r="S849" s="53"/>
      <c r="T849" s="53"/>
      <c r="U849" s="53"/>
      <c r="V849" s="53"/>
      <c r="W849" s="53"/>
      <c r="X849" s="53"/>
      <c r="Y849" s="53"/>
    </row>
    <row r="850" ht="15.75" customHeight="1">
      <c r="P850" s="53"/>
      <c r="Q850" s="53"/>
      <c r="R850" s="53"/>
      <c r="S850" s="53"/>
      <c r="T850" s="53"/>
      <c r="U850" s="53"/>
      <c r="V850" s="53"/>
      <c r="W850" s="53"/>
      <c r="X850" s="53"/>
      <c r="Y850" s="53"/>
    </row>
    <row r="851" ht="15.75" customHeight="1">
      <c r="P851" s="53"/>
      <c r="Q851" s="53"/>
      <c r="R851" s="53"/>
      <c r="S851" s="53"/>
      <c r="T851" s="53"/>
      <c r="U851" s="53"/>
      <c r="V851" s="53"/>
      <c r="W851" s="53"/>
      <c r="X851" s="53"/>
      <c r="Y851" s="53"/>
    </row>
    <row r="852" ht="15.75" customHeight="1">
      <c r="P852" s="53"/>
      <c r="Q852" s="53"/>
      <c r="R852" s="53"/>
      <c r="S852" s="53"/>
      <c r="T852" s="53"/>
      <c r="U852" s="53"/>
      <c r="V852" s="53"/>
      <c r="W852" s="53"/>
      <c r="X852" s="53"/>
      <c r="Y852" s="53"/>
    </row>
    <row r="853" ht="15.75" customHeight="1">
      <c r="P853" s="53"/>
      <c r="Q853" s="53"/>
      <c r="R853" s="53"/>
      <c r="S853" s="53"/>
      <c r="T853" s="53"/>
      <c r="U853" s="53"/>
      <c r="V853" s="53"/>
      <c r="W853" s="53"/>
      <c r="X853" s="53"/>
      <c r="Y853" s="53"/>
    </row>
    <row r="854" ht="15.75" customHeight="1">
      <c r="P854" s="53"/>
      <c r="Q854" s="53"/>
      <c r="R854" s="53"/>
      <c r="S854" s="53"/>
      <c r="T854" s="53"/>
      <c r="U854" s="53"/>
      <c r="V854" s="53"/>
      <c r="W854" s="53"/>
      <c r="X854" s="53"/>
      <c r="Y854" s="53"/>
    </row>
    <row r="855" ht="15.75" customHeight="1">
      <c r="P855" s="53"/>
      <c r="Q855" s="53"/>
      <c r="R855" s="53"/>
      <c r="S855" s="53"/>
      <c r="T855" s="53"/>
      <c r="U855" s="53"/>
      <c r="V855" s="53"/>
      <c r="W855" s="53"/>
      <c r="X855" s="53"/>
      <c r="Y855" s="53"/>
    </row>
    <row r="856" ht="15.75" customHeight="1">
      <c r="P856" s="53"/>
      <c r="Q856" s="53"/>
      <c r="R856" s="53"/>
      <c r="S856" s="53"/>
      <c r="T856" s="53"/>
      <c r="U856" s="53"/>
      <c r="V856" s="53"/>
      <c r="W856" s="53"/>
      <c r="X856" s="53"/>
      <c r="Y856" s="53"/>
    </row>
    <row r="857" ht="15.75" customHeight="1">
      <c r="P857" s="53"/>
      <c r="Q857" s="53"/>
      <c r="R857" s="53"/>
      <c r="S857" s="53"/>
      <c r="T857" s="53"/>
      <c r="U857" s="53"/>
      <c r="V857" s="53"/>
      <c r="W857" s="53"/>
      <c r="X857" s="53"/>
      <c r="Y857" s="53"/>
    </row>
    <row r="858" ht="15.75" customHeight="1">
      <c r="P858" s="53"/>
      <c r="Q858" s="53"/>
      <c r="R858" s="53"/>
      <c r="S858" s="53"/>
      <c r="T858" s="53"/>
      <c r="U858" s="53"/>
      <c r="V858" s="53"/>
      <c r="W858" s="53"/>
      <c r="X858" s="53"/>
      <c r="Y858" s="53"/>
    </row>
    <row r="859" ht="15.75" customHeight="1">
      <c r="P859" s="53"/>
      <c r="Q859" s="53"/>
      <c r="R859" s="53"/>
      <c r="S859" s="53"/>
      <c r="T859" s="53"/>
      <c r="U859" s="53"/>
      <c r="V859" s="53"/>
      <c r="W859" s="53"/>
      <c r="X859" s="53"/>
      <c r="Y859" s="53"/>
    </row>
    <row r="860" ht="15.75" customHeight="1">
      <c r="P860" s="53"/>
      <c r="Q860" s="53"/>
      <c r="R860" s="53"/>
      <c r="S860" s="53"/>
      <c r="T860" s="53"/>
      <c r="U860" s="53"/>
      <c r="V860" s="53"/>
      <c r="W860" s="53"/>
      <c r="X860" s="53"/>
      <c r="Y860" s="53"/>
    </row>
    <row r="861" ht="15.75" customHeight="1">
      <c r="P861" s="53"/>
      <c r="Q861" s="53"/>
      <c r="R861" s="53"/>
      <c r="S861" s="53"/>
      <c r="T861" s="53"/>
      <c r="U861" s="53"/>
      <c r="V861" s="53"/>
      <c r="W861" s="53"/>
      <c r="X861" s="53"/>
      <c r="Y861" s="53"/>
    </row>
    <row r="862" ht="15.75" customHeight="1">
      <c r="P862" s="53"/>
      <c r="Q862" s="53"/>
      <c r="R862" s="53"/>
      <c r="S862" s="53"/>
      <c r="T862" s="53"/>
      <c r="U862" s="53"/>
      <c r="V862" s="53"/>
      <c r="W862" s="53"/>
      <c r="X862" s="53"/>
      <c r="Y862" s="53"/>
    </row>
    <row r="863" ht="15.75" customHeight="1">
      <c r="P863" s="53"/>
      <c r="Q863" s="53"/>
      <c r="R863" s="53"/>
      <c r="S863" s="53"/>
      <c r="T863" s="53"/>
      <c r="U863" s="53"/>
      <c r="V863" s="53"/>
      <c r="W863" s="53"/>
      <c r="X863" s="53"/>
      <c r="Y863" s="53"/>
    </row>
    <row r="864" ht="15.75" customHeight="1">
      <c r="P864" s="53"/>
      <c r="Q864" s="53"/>
      <c r="R864" s="53"/>
      <c r="S864" s="53"/>
      <c r="T864" s="53"/>
      <c r="U864" s="53"/>
      <c r="V864" s="53"/>
      <c r="W864" s="53"/>
      <c r="X864" s="53"/>
      <c r="Y864" s="53"/>
    </row>
    <row r="865" ht="15.75" customHeight="1">
      <c r="P865" s="53"/>
      <c r="Q865" s="53"/>
      <c r="R865" s="53"/>
      <c r="S865" s="53"/>
      <c r="T865" s="53"/>
      <c r="U865" s="53"/>
      <c r="V865" s="53"/>
      <c r="W865" s="53"/>
      <c r="X865" s="53"/>
      <c r="Y865" s="53"/>
    </row>
    <row r="866" ht="15.75" customHeight="1">
      <c r="P866" s="53"/>
      <c r="Q866" s="53"/>
      <c r="R866" s="53"/>
      <c r="S866" s="53"/>
      <c r="T866" s="53"/>
      <c r="U866" s="53"/>
      <c r="V866" s="53"/>
      <c r="W866" s="53"/>
      <c r="X866" s="53"/>
      <c r="Y866" s="53"/>
    </row>
    <row r="867" ht="15.75" customHeight="1">
      <c r="P867" s="53"/>
      <c r="Q867" s="53"/>
      <c r="R867" s="53"/>
      <c r="S867" s="53"/>
      <c r="T867" s="53"/>
      <c r="U867" s="53"/>
      <c r="V867" s="53"/>
      <c r="W867" s="53"/>
      <c r="X867" s="53"/>
      <c r="Y867" s="53"/>
    </row>
    <row r="868" ht="15.75" customHeight="1">
      <c r="P868" s="53"/>
      <c r="Q868" s="53"/>
      <c r="R868" s="53"/>
      <c r="S868" s="53"/>
      <c r="T868" s="53"/>
      <c r="U868" s="53"/>
      <c r="V868" s="53"/>
      <c r="W868" s="53"/>
      <c r="X868" s="53"/>
      <c r="Y868" s="53"/>
    </row>
    <row r="869" ht="15.75" customHeight="1">
      <c r="P869" s="53"/>
      <c r="Q869" s="53"/>
      <c r="R869" s="53"/>
      <c r="S869" s="53"/>
      <c r="T869" s="53"/>
      <c r="U869" s="53"/>
      <c r="V869" s="53"/>
      <c r="W869" s="53"/>
      <c r="X869" s="53"/>
      <c r="Y869" s="53"/>
    </row>
    <row r="870" ht="15.75" customHeight="1">
      <c r="P870" s="53"/>
      <c r="Q870" s="53"/>
      <c r="R870" s="53"/>
      <c r="S870" s="53"/>
      <c r="T870" s="53"/>
      <c r="U870" s="53"/>
      <c r="V870" s="53"/>
      <c r="W870" s="53"/>
      <c r="X870" s="53"/>
      <c r="Y870" s="53"/>
    </row>
    <row r="871" ht="15.75" customHeight="1">
      <c r="P871" s="53"/>
      <c r="Q871" s="53"/>
      <c r="R871" s="53"/>
      <c r="S871" s="53"/>
      <c r="T871" s="53"/>
      <c r="U871" s="53"/>
      <c r="V871" s="53"/>
      <c r="W871" s="53"/>
      <c r="X871" s="53"/>
      <c r="Y871" s="53"/>
    </row>
    <row r="872" ht="15.75" customHeight="1">
      <c r="P872" s="53"/>
      <c r="Q872" s="53"/>
      <c r="R872" s="53"/>
      <c r="S872" s="53"/>
      <c r="T872" s="53"/>
      <c r="U872" s="53"/>
      <c r="V872" s="53"/>
      <c r="W872" s="53"/>
      <c r="X872" s="53"/>
      <c r="Y872" s="53"/>
    </row>
    <row r="873" ht="15.75" customHeight="1">
      <c r="P873" s="53"/>
      <c r="Q873" s="53"/>
      <c r="R873" s="53"/>
      <c r="S873" s="53"/>
      <c r="T873" s="53"/>
      <c r="U873" s="53"/>
      <c r="V873" s="53"/>
      <c r="W873" s="53"/>
      <c r="X873" s="53"/>
      <c r="Y873" s="53"/>
    </row>
    <row r="874" ht="15.75" customHeight="1">
      <c r="P874" s="53"/>
      <c r="Q874" s="53"/>
      <c r="R874" s="53"/>
      <c r="S874" s="53"/>
      <c r="T874" s="53"/>
      <c r="U874" s="53"/>
      <c r="V874" s="53"/>
      <c r="W874" s="53"/>
      <c r="X874" s="53"/>
      <c r="Y874" s="53"/>
    </row>
    <row r="875" ht="15.75" customHeight="1">
      <c r="P875" s="53"/>
      <c r="Q875" s="53"/>
      <c r="R875" s="53"/>
      <c r="S875" s="53"/>
      <c r="T875" s="53"/>
      <c r="U875" s="53"/>
      <c r="V875" s="53"/>
      <c r="W875" s="53"/>
      <c r="X875" s="53"/>
      <c r="Y875" s="53"/>
    </row>
    <row r="876" ht="15.75" customHeight="1">
      <c r="P876" s="53"/>
      <c r="Q876" s="53"/>
      <c r="R876" s="53"/>
      <c r="S876" s="53"/>
      <c r="T876" s="53"/>
      <c r="U876" s="53"/>
      <c r="V876" s="53"/>
      <c r="W876" s="53"/>
      <c r="X876" s="53"/>
      <c r="Y876" s="53"/>
    </row>
    <row r="877" ht="15.75" customHeight="1">
      <c r="P877" s="53"/>
      <c r="Q877" s="53"/>
      <c r="R877" s="53"/>
      <c r="S877" s="53"/>
      <c r="T877" s="53"/>
      <c r="U877" s="53"/>
      <c r="V877" s="53"/>
      <c r="W877" s="53"/>
      <c r="X877" s="53"/>
      <c r="Y877" s="53"/>
    </row>
    <row r="878" ht="15.75" customHeight="1">
      <c r="P878" s="53"/>
      <c r="Q878" s="53"/>
      <c r="R878" s="53"/>
      <c r="S878" s="53"/>
      <c r="T878" s="53"/>
      <c r="U878" s="53"/>
      <c r="V878" s="53"/>
      <c r="W878" s="53"/>
      <c r="X878" s="53"/>
      <c r="Y878" s="53"/>
    </row>
    <row r="879" ht="15.75" customHeight="1">
      <c r="P879" s="53"/>
      <c r="Q879" s="53"/>
      <c r="R879" s="53"/>
      <c r="S879" s="53"/>
      <c r="T879" s="53"/>
      <c r="U879" s="53"/>
      <c r="V879" s="53"/>
      <c r="W879" s="53"/>
      <c r="X879" s="53"/>
      <c r="Y879" s="53"/>
    </row>
    <row r="880" ht="15.75" customHeight="1">
      <c r="P880" s="53"/>
      <c r="Q880" s="53"/>
      <c r="R880" s="53"/>
      <c r="S880" s="53"/>
      <c r="T880" s="53"/>
      <c r="U880" s="53"/>
      <c r="V880" s="53"/>
      <c r="W880" s="53"/>
      <c r="X880" s="53"/>
      <c r="Y880" s="53"/>
    </row>
    <row r="881" ht="15.75" customHeight="1">
      <c r="P881" s="53"/>
      <c r="Q881" s="53"/>
      <c r="R881" s="53"/>
      <c r="S881" s="53"/>
      <c r="T881" s="53"/>
      <c r="U881" s="53"/>
      <c r="V881" s="53"/>
      <c r="W881" s="53"/>
      <c r="X881" s="53"/>
      <c r="Y881" s="53"/>
    </row>
    <row r="882" ht="15.75" customHeight="1">
      <c r="P882" s="53"/>
      <c r="Q882" s="53"/>
      <c r="R882" s="53"/>
      <c r="S882" s="53"/>
      <c r="T882" s="53"/>
      <c r="U882" s="53"/>
      <c r="V882" s="53"/>
      <c r="W882" s="53"/>
      <c r="X882" s="53"/>
      <c r="Y882" s="53"/>
    </row>
    <row r="883" ht="15.75" customHeight="1">
      <c r="P883" s="53"/>
      <c r="Q883" s="53"/>
      <c r="R883" s="53"/>
      <c r="S883" s="53"/>
      <c r="T883" s="53"/>
      <c r="U883" s="53"/>
      <c r="V883" s="53"/>
      <c r="W883" s="53"/>
      <c r="X883" s="53"/>
      <c r="Y883" s="53"/>
    </row>
    <row r="884" ht="15.75" customHeight="1">
      <c r="P884" s="53"/>
      <c r="Q884" s="53"/>
      <c r="R884" s="53"/>
      <c r="S884" s="53"/>
      <c r="T884" s="53"/>
      <c r="U884" s="53"/>
      <c r="V884" s="53"/>
      <c r="W884" s="53"/>
      <c r="X884" s="53"/>
      <c r="Y884" s="53"/>
    </row>
    <row r="885" ht="15.75" customHeight="1">
      <c r="P885" s="53"/>
      <c r="Q885" s="53"/>
      <c r="R885" s="53"/>
      <c r="S885" s="53"/>
      <c r="T885" s="53"/>
      <c r="U885" s="53"/>
      <c r="V885" s="53"/>
      <c r="W885" s="53"/>
      <c r="X885" s="53"/>
      <c r="Y885" s="53"/>
    </row>
    <row r="886" ht="15.75" customHeight="1">
      <c r="P886" s="53"/>
      <c r="Q886" s="53"/>
      <c r="R886" s="53"/>
      <c r="S886" s="53"/>
      <c r="T886" s="53"/>
      <c r="U886" s="53"/>
      <c r="V886" s="53"/>
      <c r="W886" s="53"/>
      <c r="X886" s="53"/>
      <c r="Y886" s="53"/>
    </row>
    <row r="887" ht="15.75" customHeight="1">
      <c r="P887" s="53"/>
      <c r="Q887" s="53"/>
      <c r="R887" s="53"/>
      <c r="S887" s="53"/>
      <c r="T887" s="53"/>
      <c r="U887" s="53"/>
      <c r="V887" s="53"/>
      <c r="W887" s="53"/>
      <c r="X887" s="53"/>
      <c r="Y887" s="53"/>
    </row>
    <row r="888" ht="15.75" customHeight="1">
      <c r="P888" s="53"/>
      <c r="Q888" s="53"/>
      <c r="R888" s="53"/>
      <c r="S888" s="53"/>
      <c r="T888" s="53"/>
      <c r="U888" s="53"/>
      <c r="V888" s="53"/>
      <c r="W888" s="53"/>
      <c r="X888" s="53"/>
      <c r="Y888" s="53"/>
    </row>
    <row r="889" ht="15.75" customHeight="1">
      <c r="P889" s="53"/>
      <c r="Q889" s="53"/>
      <c r="R889" s="53"/>
      <c r="S889" s="53"/>
      <c r="T889" s="53"/>
      <c r="U889" s="53"/>
      <c r="V889" s="53"/>
      <c r="W889" s="53"/>
      <c r="X889" s="53"/>
      <c r="Y889" s="53"/>
    </row>
    <row r="890" ht="15.75" customHeight="1">
      <c r="P890" s="53"/>
      <c r="Q890" s="53"/>
      <c r="R890" s="53"/>
      <c r="S890" s="53"/>
      <c r="T890" s="53"/>
      <c r="U890" s="53"/>
      <c r="V890" s="53"/>
      <c r="W890" s="53"/>
      <c r="X890" s="53"/>
      <c r="Y890" s="53"/>
    </row>
    <row r="891" ht="15.75" customHeight="1">
      <c r="P891" s="53"/>
      <c r="Q891" s="53"/>
      <c r="R891" s="53"/>
      <c r="S891" s="53"/>
      <c r="T891" s="53"/>
      <c r="U891" s="53"/>
      <c r="V891" s="53"/>
      <c r="W891" s="53"/>
      <c r="X891" s="53"/>
      <c r="Y891" s="53"/>
    </row>
    <row r="892" ht="15.75" customHeight="1">
      <c r="P892" s="53"/>
      <c r="Q892" s="53"/>
      <c r="R892" s="53"/>
      <c r="S892" s="53"/>
      <c r="T892" s="53"/>
      <c r="U892" s="53"/>
      <c r="V892" s="53"/>
      <c r="W892" s="53"/>
      <c r="X892" s="53"/>
      <c r="Y892" s="53"/>
    </row>
    <row r="893" ht="15.75" customHeight="1">
      <c r="P893" s="53"/>
      <c r="Q893" s="53"/>
      <c r="R893" s="53"/>
      <c r="S893" s="53"/>
      <c r="T893" s="53"/>
      <c r="U893" s="53"/>
      <c r="V893" s="53"/>
      <c r="W893" s="53"/>
      <c r="X893" s="53"/>
      <c r="Y893" s="53"/>
    </row>
    <row r="894" ht="15.75" customHeight="1">
      <c r="P894" s="53"/>
      <c r="Q894" s="53"/>
      <c r="R894" s="53"/>
      <c r="S894" s="53"/>
      <c r="T894" s="53"/>
      <c r="U894" s="53"/>
      <c r="V894" s="53"/>
      <c r="W894" s="53"/>
      <c r="X894" s="53"/>
      <c r="Y894" s="53"/>
    </row>
    <row r="895" ht="15.75" customHeight="1">
      <c r="P895" s="53"/>
      <c r="Q895" s="53"/>
      <c r="R895" s="53"/>
      <c r="S895" s="53"/>
      <c r="T895" s="53"/>
      <c r="U895" s="53"/>
      <c r="V895" s="53"/>
      <c r="W895" s="53"/>
      <c r="X895" s="53"/>
      <c r="Y895" s="53"/>
    </row>
    <row r="896" ht="15.75" customHeight="1">
      <c r="P896" s="53"/>
      <c r="Q896" s="53"/>
      <c r="R896" s="53"/>
      <c r="S896" s="53"/>
      <c r="T896" s="53"/>
      <c r="U896" s="53"/>
      <c r="V896" s="53"/>
      <c r="W896" s="53"/>
      <c r="X896" s="53"/>
      <c r="Y896" s="53"/>
    </row>
    <row r="897" ht="15.75" customHeight="1">
      <c r="P897" s="53"/>
      <c r="Q897" s="53"/>
      <c r="R897" s="53"/>
      <c r="S897" s="53"/>
      <c r="T897" s="53"/>
      <c r="U897" s="53"/>
      <c r="V897" s="53"/>
      <c r="W897" s="53"/>
      <c r="X897" s="53"/>
      <c r="Y897" s="53"/>
    </row>
    <row r="898" ht="15.75" customHeight="1">
      <c r="P898" s="53"/>
      <c r="Q898" s="53"/>
      <c r="R898" s="53"/>
      <c r="S898" s="53"/>
      <c r="T898" s="53"/>
      <c r="U898" s="53"/>
      <c r="V898" s="53"/>
      <c r="W898" s="53"/>
      <c r="X898" s="53"/>
      <c r="Y898" s="53"/>
    </row>
    <row r="899" ht="15.75" customHeight="1">
      <c r="P899" s="53"/>
      <c r="Q899" s="53"/>
      <c r="R899" s="53"/>
      <c r="S899" s="53"/>
      <c r="T899" s="53"/>
      <c r="U899" s="53"/>
      <c r="V899" s="53"/>
      <c r="W899" s="53"/>
      <c r="X899" s="53"/>
      <c r="Y899" s="53"/>
    </row>
    <row r="900" ht="15.75" customHeight="1">
      <c r="P900" s="53"/>
      <c r="Q900" s="53"/>
      <c r="R900" s="53"/>
      <c r="S900" s="53"/>
      <c r="T900" s="53"/>
      <c r="U900" s="53"/>
      <c r="V900" s="53"/>
      <c r="W900" s="53"/>
      <c r="X900" s="53"/>
      <c r="Y900" s="53"/>
    </row>
    <row r="901" ht="15.75" customHeight="1">
      <c r="P901" s="53"/>
      <c r="Q901" s="53"/>
      <c r="R901" s="53"/>
      <c r="S901" s="53"/>
      <c r="T901" s="53"/>
      <c r="U901" s="53"/>
      <c r="V901" s="53"/>
      <c r="W901" s="53"/>
      <c r="X901" s="53"/>
      <c r="Y901" s="53"/>
    </row>
    <row r="902" ht="15.75" customHeight="1">
      <c r="P902" s="53"/>
      <c r="Q902" s="53"/>
      <c r="R902" s="53"/>
      <c r="S902" s="53"/>
      <c r="T902" s="53"/>
      <c r="U902" s="53"/>
      <c r="V902" s="53"/>
      <c r="W902" s="53"/>
      <c r="X902" s="53"/>
      <c r="Y902" s="53"/>
    </row>
    <row r="903" ht="15.75" customHeight="1">
      <c r="P903" s="53"/>
      <c r="Q903" s="53"/>
      <c r="R903" s="53"/>
      <c r="S903" s="53"/>
      <c r="T903" s="53"/>
      <c r="U903" s="53"/>
      <c r="V903" s="53"/>
      <c r="W903" s="53"/>
      <c r="X903" s="53"/>
      <c r="Y903" s="53"/>
    </row>
    <row r="904" ht="15.75" customHeight="1">
      <c r="P904" s="53"/>
      <c r="Q904" s="53"/>
      <c r="R904" s="53"/>
      <c r="S904" s="53"/>
      <c r="T904" s="53"/>
      <c r="U904" s="53"/>
      <c r="V904" s="53"/>
      <c r="W904" s="53"/>
      <c r="X904" s="53"/>
      <c r="Y904" s="53"/>
    </row>
    <row r="905" ht="15.75" customHeight="1">
      <c r="P905" s="53"/>
      <c r="Q905" s="53"/>
      <c r="R905" s="53"/>
      <c r="S905" s="53"/>
      <c r="T905" s="53"/>
      <c r="U905" s="53"/>
      <c r="V905" s="53"/>
      <c r="W905" s="53"/>
      <c r="X905" s="53"/>
      <c r="Y905" s="53"/>
    </row>
    <row r="906" ht="15.75" customHeight="1">
      <c r="P906" s="53"/>
      <c r="Q906" s="53"/>
      <c r="R906" s="53"/>
      <c r="S906" s="53"/>
      <c r="T906" s="53"/>
      <c r="U906" s="53"/>
      <c r="V906" s="53"/>
      <c r="W906" s="53"/>
      <c r="X906" s="53"/>
      <c r="Y906" s="53"/>
    </row>
    <row r="907" ht="15.75" customHeight="1">
      <c r="P907" s="53"/>
      <c r="Q907" s="53"/>
      <c r="R907" s="53"/>
      <c r="S907" s="53"/>
      <c r="T907" s="53"/>
      <c r="U907" s="53"/>
      <c r="V907" s="53"/>
      <c r="W907" s="53"/>
      <c r="X907" s="53"/>
      <c r="Y907" s="53"/>
    </row>
    <row r="908" ht="15.75" customHeight="1">
      <c r="P908" s="53"/>
      <c r="Q908" s="53"/>
      <c r="R908" s="53"/>
      <c r="S908" s="53"/>
      <c r="T908" s="53"/>
      <c r="U908" s="53"/>
      <c r="V908" s="53"/>
      <c r="W908" s="53"/>
      <c r="X908" s="53"/>
      <c r="Y908" s="53"/>
    </row>
    <row r="909" ht="15.75" customHeight="1">
      <c r="P909" s="53"/>
      <c r="Q909" s="53"/>
      <c r="R909" s="53"/>
      <c r="S909" s="53"/>
      <c r="T909" s="53"/>
      <c r="U909" s="53"/>
      <c r="V909" s="53"/>
      <c r="W909" s="53"/>
      <c r="X909" s="53"/>
      <c r="Y909" s="53"/>
    </row>
    <row r="910" ht="15.75" customHeight="1">
      <c r="P910" s="53"/>
      <c r="Q910" s="53"/>
      <c r="R910" s="53"/>
      <c r="S910" s="53"/>
      <c r="T910" s="53"/>
      <c r="U910" s="53"/>
      <c r="V910" s="53"/>
      <c r="W910" s="53"/>
      <c r="X910" s="53"/>
      <c r="Y910" s="53"/>
    </row>
    <row r="911" ht="15.75" customHeight="1">
      <c r="P911" s="53"/>
      <c r="Q911" s="53"/>
      <c r="R911" s="53"/>
      <c r="S911" s="53"/>
      <c r="T911" s="53"/>
      <c r="U911" s="53"/>
      <c r="V911" s="53"/>
      <c r="W911" s="53"/>
      <c r="X911" s="53"/>
      <c r="Y911" s="53"/>
    </row>
    <row r="912" ht="15.75" customHeight="1">
      <c r="P912" s="53"/>
      <c r="Q912" s="53"/>
      <c r="R912" s="53"/>
      <c r="S912" s="53"/>
      <c r="T912" s="53"/>
      <c r="U912" s="53"/>
      <c r="V912" s="53"/>
      <c r="W912" s="53"/>
      <c r="X912" s="53"/>
      <c r="Y912" s="53"/>
    </row>
    <row r="913" ht="15.75" customHeight="1">
      <c r="P913" s="53"/>
      <c r="Q913" s="53"/>
      <c r="R913" s="53"/>
      <c r="S913" s="53"/>
      <c r="T913" s="53"/>
      <c r="U913" s="53"/>
      <c r="V913" s="53"/>
      <c r="W913" s="53"/>
      <c r="X913" s="53"/>
      <c r="Y913" s="53"/>
    </row>
    <row r="914" ht="15.75" customHeight="1">
      <c r="P914" s="53"/>
      <c r="Q914" s="53"/>
      <c r="R914" s="53"/>
      <c r="S914" s="53"/>
      <c r="T914" s="53"/>
      <c r="U914" s="53"/>
      <c r="V914" s="53"/>
      <c r="W914" s="53"/>
      <c r="X914" s="53"/>
      <c r="Y914" s="53"/>
    </row>
    <row r="915" ht="15.75" customHeight="1">
      <c r="P915" s="53"/>
      <c r="Q915" s="53"/>
      <c r="R915" s="53"/>
      <c r="S915" s="53"/>
      <c r="T915" s="53"/>
      <c r="U915" s="53"/>
      <c r="V915" s="53"/>
      <c r="W915" s="53"/>
      <c r="X915" s="53"/>
      <c r="Y915" s="53"/>
    </row>
    <row r="916" ht="15.75" customHeight="1">
      <c r="P916" s="53"/>
      <c r="Q916" s="53"/>
      <c r="R916" s="53"/>
      <c r="S916" s="53"/>
      <c r="T916" s="53"/>
      <c r="U916" s="53"/>
      <c r="V916" s="53"/>
      <c r="W916" s="53"/>
      <c r="X916" s="53"/>
      <c r="Y916" s="53"/>
    </row>
    <row r="917" ht="15.75" customHeight="1">
      <c r="P917" s="53"/>
      <c r="Q917" s="53"/>
      <c r="R917" s="53"/>
      <c r="S917" s="53"/>
      <c r="T917" s="53"/>
      <c r="U917" s="53"/>
      <c r="V917" s="53"/>
      <c r="W917" s="53"/>
      <c r="X917" s="53"/>
      <c r="Y917" s="53"/>
    </row>
    <row r="918" ht="15.75" customHeight="1">
      <c r="P918" s="53"/>
      <c r="Q918" s="53"/>
      <c r="R918" s="53"/>
      <c r="S918" s="53"/>
      <c r="T918" s="53"/>
      <c r="U918" s="53"/>
      <c r="V918" s="53"/>
      <c r="W918" s="53"/>
      <c r="X918" s="53"/>
      <c r="Y918" s="53"/>
    </row>
    <row r="919" ht="15.75" customHeight="1">
      <c r="P919" s="53"/>
      <c r="Q919" s="53"/>
      <c r="R919" s="53"/>
      <c r="S919" s="53"/>
      <c r="T919" s="53"/>
      <c r="U919" s="53"/>
      <c r="V919" s="53"/>
      <c r="W919" s="53"/>
      <c r="X919" s="53"/>
      <c r="Y919" s="53"/>
    </row>
    <row r="920" ht="15.75" customHeight="1">
      <c r="P920" s="53"/>
      <c r="Q920" s="53"/>
      <c r="R920" s="53"/>
      <c r="S920" s="53"/>
      <c r="T920" s="53"/>
      <c r="U920" s="53"/>
      <c r="V920" s="53"/>
      <c r="W920" s="53"/>
      <c r="X920" s="53"/>
      <c r="Y920" s="53"/>
    </row>
    <row r="921" ht="15.75" customHeight="1">
      <c r="P921" s="53"/>
      <c r="Q921" s="53"/>
      <c r="R921" s="53"/>
      <c r="S921" s="53"/>
      <c r="T921" s="53"/>
      <c r="U921" s="53"/>
      <c r="V921" s="53"/>
      <c r="W921" s="53"/>
      <c r="X921" s="53"/>
      <c r="Y921" s="53"/>
    </row>
    <row r="922" ht="15.75" customHeight="1">
      <c r="P922" s="53"/>
      <c r="Q922" s="53"/>
      <c r="R922" s="53"/>
      <c r="S922" s="53"/>
      <c r="T922" s="53"/>
      <c r="U922" s="53"/>
      <c r="V922" s="53"/>
      <c r="W922" s="53"/>
      <c r="X922" s="53"/>
      <c r="Y922" s="53"/>
    </row>
    <row r="923" ht="15.75" customHeight="1">
      <c r="P923" s="53"/>
      <c r="Q923" s="53"/>
      <c r="R923" s="53"/>
      <c r="S923" s="53"/>
      <c r="T923" s="53"/>
      <c r="U923" s="53"/>
      <c r="V923" s="53"/>
      <c r="W923" s="53"/>
      <c r="X923" s="53"/>
      <c r="Y923" s="53"/>
    </row>
    <row r="924" ht="15.75" customHeight="1">
      <c r="P924" s="53"/>
      <c r="Q924" s="53"/>
      <c r="R924" s="53"/>
      <c r="S924" s="53"/>
      <c r="T924" s="53"/>
      <c r="U924" s="53"/>
      <c r="V924" s="53"/>
      <c r="W924" s="53"/>
      <c r="X924" s="53"/>
      <c r="Y924" s="53"/>
    </row>
    <row r="925" ht="15.75" customHeight="1">
      <c r="P925" s="53"/>
      <c r="Q925" s="53"/>
      <c r="R925" s="53"/>
      <c r="S925" s="53"/>
      <c r="T925" s="53"/>
      <c r="U925" s="53"/>
      <c r="V925" s="53"/>
      <c r="W925" s="53"/>
      <c r="X925" s="53"/>
      <c r="Y925" s="53"/>
    </row>
    <row r="926" ht="15.75" customHeight="1">
      <c r="P926" s="53"/>
      <c r="Q926" s="53"/>
      <c r="R926" s="53"/>
      <c r="S926" s="53"/>
      <c r="T926" s="53"/>
      <c r="U926" s="53"/>
      <c r="V926" s="53"/>
      <c r="W926" s="53"/>
      <c r="X926" s="53"/>
      <c r="Y926" s="53"/>
    </row>
    <row r="927" ht="15.75" customHeight="1">
      <c r="P927" s="53"/>
      <c r="Q927" s="53"/>
      <c r="R927" s="53"/>
      <c r="S927" s="53"/>
      <c r="T927" s="53"/>
      <c r="U927" s="53"/>
      <c r="V927" s="53"/>
      <c r="W927" s="53"/>
      <c r="X927" s="53"/>
      <c r="Y927" s="53"/>
    </row>
    <row r="928" ht="15.75" customHeight="1">
      <c r="P928" s="53"/>
      <c r="Q928" s="53"/>
      <c r="R928" s="53"/>
      <c r="S928" s="53"/>
      <c r="T928" s="53"/>
      <c r="U928" s="53"/>
      <c r="V928" s="53"/>
      <c r="W928" s="53"/>
      <c r="X928" s="53"/>
      <c r="Y928" s="53"/>
    </row>
    <row r="929" ht="15.75" customHeight="1">
      <c r="P929" s="53"/>
      <c r="Q929" s="53"/>
      <c r="R929" s="53"/>
      <c r="S929" s="53"/>
      <c r="T929" s="53"/>
      <c r="U929" s="53"/>
      <c r="V929" s="53"/>
      <c r="W929" s="53"/>
      <c r="X929" s="53"/>
      <c r="Y929" s="53"/>
    </row>
    <row r="930" ht="15.75" customHeight="1">
      <c r="P930" s="53"/>
      <c r="Q930" s="53"/>
      <c r="R930" s="53"/>
      <c r="S930" s="53"/>
      <c r="T930" s="53"/>
      <c r="U930" s="53"/>
      <c r="V930" s="53"/>
      <c r="W930" s="53"/>
      <c r="X930" s="53"/>
      <c r="Y930" s="53"/>
    </row>
    <row r="931" ht="15.75" customHeight="1">
      <c r="P931" s="53"/>
      <c r="Q931" s="53"/>
      <c r="R931" s="53"/>
      <c r="S931" s="53"/>
      <c r="T931" s="53"/>
      <c r="U931" s="53"/>
      <c r="V931" s="53"/>
      <c r="W931" s="53"/>
      <c r="X931" s="53"/>
      <c r="Y931" s="53"/>
    </row>
    <row r="932" ht="15.75" customHeight="1">
      <c r="P932" s="53"/>
      <c r="Q932" s="53"/>
      <c r="R932" s="53"/>
      <c r="S932" s="53"/>
      <c r="T932" s="53"/>
      <c r="U932" s="53"/>
      <c r="V932" s="53"/>
      <c r="W932" s="53"/>
      <c r="X932" s="53"/>
      <c r="Y932" s="53"/>
    </row>
    <row r="933" ht="15.75" customHeight="1">
      <c r="P933" s="53"/>
      <c r="Q933" s="53"/>
      <c r="R933" s="53"/>
      <c r="S933" s="53"/>
      <c r="T933" s="53"/>
      <c r="U933" s="53"/>
      <c r="V933" s="53"/>
      <c r="W933" s="53"/>
      <c r="X933" s="53"/>
      <c r="Y933" s="53"/>
    </row>
    <row r="934" ht="15.75" customHeight="1">
      <c r="P934" s="53"/>
      <c r="Q934" s="53"/>
      <c r="R934" s="53"/>
      <c r="S934" s="53"/>
      <c r="T934" s="53"/>
      <c r="U934" s="53"/>
      <c r="V934" s="53"/>
      <c r="W934" s="53"/>
      <c r="X934" s="53"/>
      <c r="Y934" s="53"/>
    </row>
    <row r="935" ht="15.75" customHeight="1">
      <c r="P935" s="53"/>
      <c r="Q935" s="53"/>
      <c r="R935" s="53"/>
      <c r="S935" s="53"/>
      <c r="T935" s="53"/>
      <c r="U935" s="53"/>
      <c r="V935" s="53"/>
      <c r="W935" s="53"/>
      <c r="X935" s="53"/>
      <c r="Y935" s="53"/>
    </row>
    <row r="936" ht="15.75" customHeight="1">
      <c r="P936" s="53"/>
      <c r="Q936" s="53"/>
      <c r="R936" s="53"/>
      <c r="S936" s="53"/>
      <c r="T936" s="53"/>
      <c r="U936" s="53"/>
      <c r="V936" s="53"/>
      <c r="W936" s="53"/>
      <c r="X936" s="53"/>
      <c r="Y936" s="53"/>
    </row>
    <row r="937" ht="15.75" customHeight="1">
      <c r="P937" s="53"/>
      <c r="Q937" s="53"/>
      <c r="R937" s="53"/>
      <c r="S937" s="53"/>
      <c r="T937" s="53"/>
      <c r="U937" s="53"/>
      <c r="V937" s="53"/>
      <c r="W937" s="53"/>
      <c r="X937" s="53"/>
      <c r="Y937" s="53"/>
    </row>
    <row r="938" ht="15.75" customHeight="1">
      <c r="P938" s="53"/>
      <c r="Q938" s="53"/>
      <c r="R938" s="53"/>
      <c r="S938" s="53"/>
      <c r="T938" s="53"/>
      <c r="U938" s="53"/>
      <c r="V938" s="53"/>
      <c r="W938" s="53"/>
      <c r="X938" s="53"/>
      <c r="Y938" s="53"/>
    </row>
    <row r="939" ht="15.75" customHeight="1">
      <c r="P939" s="53"/>
      <c r="Q939" s="53"/>
      <c r="R939" s="53"/>
      <c r="S939" s="53"/>
      <c r="T939" s="53"/>
      <c r="U939" s="53"/>
      <c r="V939" s="53"/>
      <c r="W939" s="53"/>
      <c r="X939" s="53"/>
      <c r="Y939" s="53"/>
    </row>
    <row r="940" ht="15.75" customHeight="1">
      <c r="P940" s="53"/>
      <c r="Q940" s="53"/>
      <c r="R940" s="53"/>
      <c r="S940" s="53"/>
      <c r="T940" s="53"/>
      <c r="U940" s="53"/>
      <c r="V940" s="53"/>
      <c r="W940" s="53"/>
      <c r="X940" s="53"/>
      <c r="Y940" s="53"/>
    </row>
    <row r="941" ht="15.75" customHeight="1">
      <c r="P941" s="53"/>
      <c r="Q941" s="53"/>
      <c r="R941" s="53"/>
      <c r="S941" s="53"/>
      <c r="T941" s="53"/>
      <c r="U941" s="53"/>
      <c r="V941" s="53"/>
      <c r="W941" s="53"/>
      <c r="X941" s="53"/>
      <c r="Y941" s="53"/>
    </row>
    <row r="942" ht="15.75" customHeight="1">
      <c r="P942" s="53"/>
      <c r="Q942" s="53"/>
      <c r="R942" s="53"/>
      <c r="S942" s="53"/>
      <c r="T942" s="53"/>
      <c r="U942" s="53"/>
      <c r="V942" s="53"/>
      <c r="W942" s="53"/>
      <c r="X942" s="53"/>
      <c r="Y942" s="53"/>
    </row>
    <row r="943" ht="15.75" customHeight="1">
      <c r="P943" s="53"/>
      <c r="Q943" s="53"/>
      <c r="R943" s="53"/>
      <c r="S943" s="53"/>
      <c r="T943" s="53"/>
      <c r="U943" s="53"/>
      <c r="V943" s="53"/>
      <c r="W943" s="53"/>
      <c r="X943" s="53"/>
      <c r="Y943" s="53"/>
    </row>
    <row r="944" ht="15.75" customHeight="1">
      <c r="P944" s="53"/>
      <c r="Q944" s="53"/>
      <c r="R944" s="53"/>
      <c r="S944" s="53"/>
      <c r="T944" s="53"/>
      <c r="U944" s="53"/>
      <c r="V944" s="53"/>
      <c r="W944" s="53"/>
      <c r="X944" s="53"/>
      <c r="Y944" s="53"/>
    </row>
    <row r="945" ht="15.75" customHeight="1">
      <c r="P945" s="53"/>
      <c r="Q945" s="53"/>
      <c r="R945" s="53"/>
      <c r="S945" s="53"/>
      <c r="T945" s="53"/>
      <c r="U945" s="53"/>
      <c r="V945" s="53"/>
      <c r="W945" s="53"/>
      <c r="X945" s="53"/>
      <c r="Y945" s="53"/>
    </row>
    <row r="946" ht="15.75" customHeight="1">
      <c r="P946" s="53"/>
      <c r="Q946" s="53"/>
      <c r="R946" s="53"/>
      <c r="S946" s="53"/>
      <c r="T946" s="53"/>
      <c r="U946" s="53"/>
      <c r="V946" s="53"/>
      <c r="W946" s="53"/>
      <c r="X946" s="53"/>
      <c r="Y946" s="53"/>
    </row>
    <row r="947" ht="15.75" customHeight="1">
      <c r="P947" s="53"/>
      <c r="Q947" s="53"/>
      <c r="R947" s="53"/>
      <c r="S947" s="53"/>
      <c r="T947" s="53"/>
      <c r="U947" s="53"/>
      <c r="V947" s="53"/>
      <c r="W947" s="53"/>
      <c r="X947" s="53"/>
      <c r="Y947" s="53"/>
    </row>
    <row r="948" ht="15.75" customHeight="1">
      <c r="P948" s="53"/>
      <c r="Q948" s="53"/>
      <c r="R948" s="53"/>
      <c r="S948" s="53"/>
      <c r="T948" s="53"/>
      <c r="U948" s="53"/>
      <c r="V948" s="53"/>
      <c r="W948" s="53"/>
      <c r="X948" s="53"/>
      <c r="Y948" s="53"/>
    </row>
    <row r="949" ht="15.75" customHeight="1">
      <c r="P949" s="53"/>
      <c r="Q949" s="53"/>
      <c r="R949" s="53"/>
      <c r="S949" s="53"/>
      <c r="T949" s="53"/>
      <c r="U949" s="53"/>
      <c r="V949" s="53"/>
      <c r="W949" s="53"/>
      <c r="X949" s="53"/>
      <c r="Y949" s="53"/>
    </row>
    <row r="950" ht="15.75" customHeight="1">
      <c r="P950" s="53"/>
      <c r="Q950" s="53"/>
      <c r="R950" s="53"/>
      <c r="S950" s="53"/>
      <c r="T950" s="53"/>
      <c r="U950" s="53"/>
      <c r="V950" s="53"/>
      <c r="W950" s="53"/>
      <c r="X950" s="53"/>
      <c r="Y950" s="53"/>
    </row>
    <row r="951" ht="15.75" customHeight="1">
      <c r="P951" s="53"/>
      <c r="Q951" s="53"/>
      <c r="R951" s="53"/>
      <c r="S951" s="53"/>
      <c r="T951" s="53"/>
      <c r="U951" s="53"/>
      <c r="V951" s="53"/>
      <c r="W951" s="53"/>
      <c r="X951" s="53"/>
      <c r="Y951" s="53"/>
    </row>
    <row r="952" ht="15.75" customHeight="1">
      <c r="P952" s="53"/>
      <c r="Q952" s="53"/>
      <c r="R952" s="53"/>
      <c r="S952" s="53"/>
      <c r="T952" s="53"/>
      <c r="U952" s="53"/>
      <c r="V952" s="53"/>
      <c r="W952" s="53"/>
      <c r="X952" s="53"/>
      <c r="Y952" s="53"/>
    </row>
    <row r="953" ht="15.75" customHeight="1">
      <c r="P953" s="53"/>
      <c r="Q953" s="53"/>
      <c r="R953" s="53"/>
      <c r="S953" s="53"/>
      <c r="T953" s="53"/>
      <c r="U953" s="53"/>
      <c r="V953" s="53"/>
      <c r="W953" s="53"/>
      <c r="X953" s="53"/>
      <c r="Y953" s="53"/>
    </row>
    <row r="954" ht="15.75" customHeight="1">
      <c r="P954" s="53"/>
      <c r="Q954" s="53"/>
      <c r="R954" s="53"/>
      <c r="S954" s="53"/>
      <c r="T954" s="53"/>
      <c r="U954" s="53"/>
      <c r="V954" s="53"/>
      <c r="W954" s="53"/>
      <c r="X954" s="53"/>
      <c r="Y954" s="53"/>
    </row>
    <row r="955" ht="15.75" customHeight="1">
      <c r="P955" s="53"/>
      <c r="Q955" s="53"/>
      <c r="R955" s="53"/>
      <c r="S955" s="53"/>
      <c r="T955" s="53"/>
      <c r="U955" s="53"/>
      <c r="V955" s="53"/>
      <c r="W955" s="53"/>
      <c r="X955" s="53"/>
      <c r="Y955" s="53"/>
    </row>
    <row r="956" ht="15.75" customHeight="1">
      <c r="P956" s="53"/>
      <c r="Q956" s="53"/>
      <c r="R956" s="53"/>
      <c r="S956" s="53"/>
      <c r="T956" s="53"/>
      <c r="U956" s="53"/>
      <c r="V956" s="53"/>
      <c r="W956" s="53"/>
      <c r="X956" s="53"/>
      <c r="Y956" s="53"/>
    </row>
    <row r="957" ht="15.75" customHeight="1">
      <c r="P957" s="53"/>
      <c r="Q957" s="53"/>
      <c r="R957" s="53"/>
      <c r="S957" s="53"/>
      <c r="T957" s="53"/>
      <c r="U957" s="53"/>
      <c r="V957" s="53"/>
      <c r="W957" s="53"/>
      <c r="X957" s="53"/>
      <c r="Y957" s="53"/>
    </row>
    <row r="958" ht="15.75" customHeight="1">
      <c r="P958" s="53"/>
      <c r="Q958" s="53"/>
      <c r="R958" s="53"/>
      <c r="S958" s="53"/>
      <c r="T958" s="53"/>
      <c r="U958" s="53"/>
      <c r="V958" s="53"/>
      <c r="W958" s="53"/>
      <c r="X958" s="53"/>
      <c r="Y958" s="53"/>
    </row>
    <row r="959" ht="15.75" customHeight="1">
      <c r="P959" s="53"/>
      <c r="Q959" s="53"/>
      <c r="R959" s="53"/>
      <c r="S959" s="53"/>
      <c r="T959" s="53"/>
      <c r="U959" s="53"/>
      <c r="V959" s="53"/>
      <c r="W959" s="53"/>
      <c r="X959" s="53"/>
      <c r="Y959" s="53"/>
    </row>
    <row r="960" ht="15.75" customHeight="1">
      <c r="P960" s="53"/>
      <c r="Q960" s="53"/>
      <c r="R960" s="53"/>
      <c r="S960" s="53"/>
      <c r="T960" s="53"/>
      <c r="U960" s="53"/>
      <c r="V960" s="53"/>
      <c r="W960" s="53"/>
      <c r="X960" s="53"/>
      <c r="Y960" s="53"/>
    </row>
    <row r="961" ht="15.75" customHeight="1">
      <c r="P961" s="53"/>
      <c r="Q961" s="53"/>
      <c r="R961" s="53"/>
      <c r="S961" s="53"/>
      <c r="T961" s="53"/>
      <c r="U961" s="53"/>
      <c r="V961" s="53"/>
      <c r="W961" s="53"/>
      <c r="X961" s="53"/>
      <c r="Y961" s="53"/>
    </row>
    <row r="962" ht="15.75" customHeight="1">
      <c r="P962" s="53"/>
      <c r="Q962" s="53"/>
      <c r="R962" s="53"/>
      <c r="S962" s="53"/>
      <c r="T962" s="53"/>
      <c r="U962" s="53"/>
      <c r="V962" s="53"/>
      <c r="W962" s="53"/>
      <c r="X962" s="53"/>
      <c r="Y962" s="53"/>
    </row>
    <row r="963" ht="15.75" customHeight="1">
      <c r="P963" s="53"/>
      <c r="Q963" s="53"/>
      <c r="R963" s="53"/>
      <c r="S963" s="53"/>
      <c r="T963" s="53"/>
      <c r="U963" s="53"/>
      <c r="V963" s="53"/>
      <c r="W963" s="53"/>
      <c r="X963" s="53"/>
      <c r="Y963" s="53"/>
    </row>
    <row r="964" ht="15.75" customHeight="1">
      <c r="P964" s="53"/>
      <c r="Q964" s="53"/>
      <c r="R964" s="53"/>
      <c r="S964" s="53"/>
      <c r="T964" s="53"/>
      <c r="U964" s="53"/>
      <c r="V964" s="53"/>
      <c r="W964" s="53"/>
      <c r="X964" s="53"/>
      <c r="Y964" s="53"/>
    </row>
    <row r="965" ht="15.75" customHeight="1">
      <c r="P965" s="53"/>
      <c r="Q965" s="53"/>
      <c r="R965" s="53"/>
      <c r="S965" s="53"/>
      <c r="T965" s="53"/>
      <c r="U965" s="53"/>
      <c r="V965" s="53"/>
      <c r="W965" s="53"/>
      <c r="X965" s="53"/>
      <c r="Y965" s="53"/>
    </row>
    <row r="966" ht="15.75" customHeight="1">
      <c r="P966" s="53"/>
      <c r="Q966" s="53"/>
      <c r="R966" s="53"/>
      <c r="S966" s="53"/>
      <c r="T966" s="53"/>
      <c r="U966" s="53"/>
      <c r="V966" s="53"/>
      <c r="W966" s="53"/>
      <c r="X966" s="53"/>
      <c r="Y966" s="53"/>
    </row>
    <row r="967" ht="15.75" customHeight="1">
      <c r="P967" s="53"/>
      <c r="Q967" s="53"/>
      <c r="R967" s="53"/>
      <c r="S967" s="53"/>
      <c r="T967" s="53"/>
      <c r="U967" s="53"/>
      <c r="V967" s="53"/>
      <c r="W967" s="53"/>
      <c r="X967" s="53"/>
      <c r="Y967" s="53"/>
    </row>
    <row r="968" ht="15.75" customHeight="1">
      <c r="P968" s="53"/>
      <c r="Q968" s="53"/>
      <c r="R968" s="53"/>
      <c r="S968" s="53"/>
      <c r="T968" s="53"/>
      <c r="U968" s="53"/>
      <c r="V968" s="53"/>
      <c r="W968" s="53"/>
      <c r="X968" s="53"/>
      <c r="Y968" s="53"/>
    </row>
    <row r="969" ht="15.75" customHeight="1">
      <c r="P969" s="53"/>
      <c r="Q969" s="53"/>
      <c r="R969" s="53"/>
      <c r="S969" s="53"/>
      <c r="T969" s="53"/>
      <c r="U969" s="53"/>
      <c r="V969" s="53"/>
      <c r="W969" s="53"/>
      <c r="X969" s="53"/>
      <c r="Y969" s="53"/>
    </row>
    <row r="970" ht="15.75" customHeight="1">
      <c r="P970" s="53"/>
      <c r="Q970" s="53"/>
      <c r="R970" s="53"/>
      <c r="S970" s="53"/>
      <c r="T970" s="53"/>
      <c r="U970" s="53"/>
      <c r="V970" s="53"/>
      <c r="W970" s="53"/>
      <c r="X970" s="53"/>
      <c r="Y970" s="53"/>
    </row>
    <row r="971" ht="15.75" customHeight="1">
      <c r="P971" s="53"/>
      <c r="Q971" s="53"/>
      <c r="R971" s="53"/>
      <c r="S971" s="53"/>
      <c r="T971" s="53"/>
      <c r="U971" s="53"/>
      <c r="V971" s="53"/>
      <c r="W971" s="53"/>
      <c r="X971" s="53"/>
      <c r="Y971" s="53"/>
    </row>
    <row r="972" ht="15.75" customHeight="1">
      <c r="P972" s="53"/>
      <c r="Q972" s="53"/>
      <c r="R972" s="53"/>
      <c r="S972" s="53"/>
      <c r="T972" s="53"/>
      <c r="U972" s="53"/>
      <c r="V972" s="53"/>
      <c r="W972" s="53"/>
      <c r="X972" s="53"/>
      <c r="Y972" s="53"/>
    </row>
    <row r="973" ht="15.75" customHeight="1">
      <c r="P973" s="53"/>
      <c r="Q973" s="53"/>
      <c r="R973" s="53"/>
      <c r="S973" s="53"/>
      <c r="T973" s="53"/>
      <c r="U973" s="53"/>
      <c r="V973" s="53"/>
      <c r="W973" s="53"/>
      <c r="X973" s="53"/>
      <c r="Y973" s="53"/>
    </row>
    <row r="974" ht="15.75" customHeight="1">
      <c r="P974" s="53"/>
      <c r="Q974" s="53"/>
      <c r="R974" s="53"/>
      <c r="S974" s="53"/>
      <c r="T974" s="53"/>
      <c r="U974" s="53"/>
      <c r="V974" s="53"/>
      <c r="W974" s="53"/>
      <c r="X974" s="53"/>
      <c r="Y974" s="53"/>
    </row>
    <row r="975" ht="15.75" customHeight="1">
      <c r="P975" s="53"/>
      <c r="Q975" s="53"/>
      <c r="R975" s="53"/>
      <c r="S975" s="53"/>
      <c r="T975" s="53"/>
      <c r="U975" s="53"/>
      <c r="V975" s="53"/>
      <c r="W975" s="53"/>
      <c r="X975" s="53"/>
      <c r="Y975" s="53"/>
    </row>
    <row r="976" ht="15.75" customHeight="1">
      <c r="P976" s="53"/>
      <c r="Q976" s="53"/>
      <c r="R976" s="53"/>
      <c r="S976" s="53"/>
      <c r="T976" s="53"/>
      <c r="U976" s="53"/>
      <c r="V976" s="53"/>
      <c r="W976" s="53"/>
      <c r="X976" s="53"/>
      <c r="Y976" s="53"/>
    </row>
    <row r="977" ht="15.75" customHeight="1">
      <c r="P977" s="53"/>
      <c r="Q977" s="53"/>
      <c r="R977" s="53"/>
      <c r="S977" s="53"/>
      <c r="T977" s="53"/>
      <c r="U977" s="53"/>
      <c r="V977" s="53"/>
      <c r="W977" s="53"/>
      <c r="X977" s="53"/>
      <c r="Y977" s="53"/>
    </row>
    <row r="978" ht="15.75" customHeight="1">
      <c r="P978" s="53"/>
      <c r="Q978" s="53"/>
      <c r="R978" s="53"/>
      <c r="S978" s="53"/>
      <c r="T978" s="53"/>
      <c r="U978" s="53"/>
      <c r="V978" s="53"/>
      <c r="W978" s="53"/>
      <c r="X978" s="53"/>
      <c r="Y978" s="53"/>
    </row>
    <row r="979" ht="15.75" customHeight="1">
      <c r="P979" s="53"/>
      <c r="Q979" s="53"/>
      <c r="R979" s="53"/>
      <c r="S979" s="53"/>
      <c r="T979" s="53"/>
      <c r="U979" s="53"/>
      <c r="V979" s="53"/>
      <c r="W979" s="53"/>
      <c r="X979" s="53"/>
      <c r="Y979" s="53"/>
    </row>
    <row r="980" ht="15.75" customHeight="1">
      <c r="P980" s="53"/>
      <c r="Q980" s="53"/>
      <c r="R980" s="53"/>
      <c r="S980" s="53"/>
      <c r="T980" s="53"/>
      <c r="U980" s="53"/>
      <c r="V980" s="53"/>
      <c r="W980" s="53"/>
      <c r="X980" s="53"/>
      <c r="Y980" s="53"/>
    </row>
    <row r="981" ht="15.75" customHeight="1">
      <c r="P981" s="53"/>
      <c r="Q981" s="53"/>
      <c r="R981" s="53"/>
      <c r="S981" s="53"/>
      <c r="T981" s="53"/>
      <c r="U981" s="53"/>
      <c r="V981" s="53"/>
      <c r="W981" s="53"/>
      <c r="X981" s="53"/>
      <c r="Y981" s="53"/>
    </row>
    <row r="982" ht="15.75" customHeight="1">
      <c r="P982" s="53"/>
      <c r="Q982" s="53"/>
      <c r="R982" s="53"/>
      <c r="S982" s="53"/>
      <c r="T982" s="53"/>
      <c r="U982" s="53"/>
      <c r="V982" s="53"/>
      <c r="W982" s="53"/>
      <c r="X982" s="53"/>
      <c r="Y982" s="53"/>
    </row>
    <row r="983" ht="15.75" customHeight="1">
      <c r="P983" s="53"/>
      <c r="Q983" s="53"/>
      <c r="R983" s="53"/>
      <c r="S983" s="53"/>
      <c r="T983" s="53"/>
      <c r="U983" s="53"/>
      <c r="V983" s="53"/>
      <c r="W983" s="53"/>
      <c r="X983" s="53"/>
      <c r="Y983" s="53"/>
    </row>
    <row r="984" ht="15.75" customHeight="1">
      <c r="P984" s="53"/>
      <c r="Q984" s="53"/>
      <c r="R984" s="53"/>
      <c r="S984" s="53"/>
      <c r="T984" s="53"/>
      <c r="U984" s="53"/>
      <c r="V984" s="53"/>
      <c r="W984" s="53"/>
      <c r="X984" s="53"/>
      <c r="Y984" s="53"/>
    </row>
    <row r="985" ht="15.75" customHeight="1">
      <c r="P985" s="53"/>
      <c r="Q985" s="53"/>
      <c r="R985" s="53"/>
      <c r="S985" s="53"/>
      <c r="T985" s="53"/>
      <c r="U985" s="53"/>
      <c r="V985" s="53"/>
      <c r="W985" s="53"/>
      <c r="X985" s="53"/>
      <c r="Y985" s="53"/>
    </row>
    <row r="986" ht="15.75" customHeight="1">
      <c r="P986" s="53"/>
      <c r="Q986" s="53"/>
      <c r="R986" s="53"/>
      <c r="S986" s="53"/>
      <c r="T986" s="53"/>
      <c r="U986" s="53"/>
      <c r="V986" s="53"/>
      <c r="W986" s="53"/>
      <c r="X986" s="53"/>
      <c r="Y986" s="53"/>
    </row>
    <row r="987" ht="15.75" customHeight="1">
      <c r="P987" s="53"/>
      <c r="Q987" s="53"/>
      <c r="R987" s="53"/>
      <c r="S987" s="53"/>
      <c r="T987" s="53"/>
      <c r="U987" s="53"/>
      <c r="V987" s="53"/>
      <c r="W987" s="53"/>
      <c r="X987" s="53"/>
      <c r="Y987" s="53"/>
    </row>
    <row r="988" ht="15.75" customHeight="1">
      <c r="P988" s="53"/>
      <c r="Q988" s="53"/>
      <c r="R988" s="53"/>
      <c r="S988" s="53"/>
      <c r="T988" s="53"/>
      <c r="U988" s="53"/>
      <c r="V988" s="53"/>
      <c r="W988" s="53"/>
      <c r="X988" s="53"/>
      <c r="Y988" s="53"/>
    </row>
    <row r="989" ht="15.75" customHeight="1">
      <c r="P989" s="53"/>
      <c r="Q989" s="53"/>
      <c r="R989" s="53"/>
      <c r="S989" s="53"/>
      <c r="T989" s="53"/>
      <c r="U989" s="53"/>
      <c r="V989" s="53"/>
      <c r="W989" s="53"/>
      <c r="X989" s="53"/>
      <c r="Y989" s="53"/>
    </row>
    <row r="990" ht="15.75" customHeight="1">
      <c r="P990" s="53"/>
      <c r="Q990" s="53"/>
      <c r="R990" s="53"/>
      <c r="S990" s="53"/>
      <c r="T990" s="53"/>
      <c r="U990" s="53"/>
      <c r="V990" s="53"/>
      <c r="W990" s="53"/>
      <c r="X990" s="53"/>
      <c r="Y990" s="53"/>
    </row>
    <row r="991" ht="15.75" customHeight="1">
      <c r="P991" s="53"/>
      <c r="Q991" s="53"/>
      <c r="R991" s="53"/>
      <c r="S991" s="53"/>
      <c r="T991" s="53"/>
      <c r="U991" s="53"/>
      <c r="V991" s="53"/>
      <c r="W991" s="53"/>
      <c r="X991" s="53"/>
      <c r="Y991" s="53"/>
    </row>
  </sheetData>
  <autoFilter ref="$A$1:$P$313"/>
  <dataValidations>
    <dataValidation type="list" allowBlank="1" showErrorMessage="1" sqref="M2:M74">
      <formula1>'Datos del plan'!$B$1:$B$5</formula1>
    </dataValidation>
    <dataValidation type="list" allowBlank="1" showErrorMessage="1" sqref="L2:L74">
      <formula1>Datos!$B$1:$B$3</formula1>
    </dataValidation>
    <dataValidation type="list" allowBlank="1" showErrorMessage="1" sqref="N2:N74">
      <formula1>'Datos del plan'!$D$1:$D$2</formula1>
    </dataValidation>
    <dataValidation type="list" allowBlank="1" showErrorMessage="1" sqref="E2:E74">
      <formula1>'Datos del plan'!$A$1:$A$8</formula1>
    </dataValidation>
  </dataValidations>
  <hyperlinks>
    <hyperlink r:id="rId1" ref="J2"/>
    <hyperlink r:id="rId2" ref="J3"/>
    <hyperlink r:id="rId3" ref="I4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66" t="s">
        <v>47</v>
      </c>
      <c r="B1" s="66" t="s">
        <v>38</v>
      </c>
    </row>
    <row r="2">
      <c r="A2" s="66" t="s">
        <v>148</v>
      </c>
      <c r="B2" s="66" t="s">
        <v>113</v>
      </c>
    </row>
    <row r="3">
      <c r="A3" s="66" t="s">
        <v>149</v>
      </c>
      <c r="B3" s="66" t="s">
        <v>150</v>
      </c>
    </row>
    <row r="9">
      <c r="F9" s="66"/>
      <c r="H9" s="66"/>
    </row>
    <row r="10">
      <c r="F10" s="66"/>
      <c r="H10" s="66"/>
    </row>
    <row r="11">
      <c r="F11" s="66"/>
      <c r="H11" s="66"/>
    </row>
    <row r="12">
      <c r="F12" s="66"/>
      <c r="H12" s="66"/>
    </row>
    <row r="13">
      <c r="F13" s="6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66" t="s">
        <v>47</v>
      </c>
      <c r="B1" s="66" t="s">
        <v>3</v>
      </c>
      <c r="C1" s="66" t="s">
        <v>151</v>
      </c>
      <c r="D1" s="66" t="s">
        <v>39</v>
      </c>
    </row>
    <row r="2" ht="14.25" customHeight="1">
      <c r="A2" s="66" t="s">
        <v>148</v>
      </c>
      <c r="B2" s="66" t="s">
        <v>4</v>
      </c>
      <c r="C2" s="66" t="s">
        <v>152</v>
      </c>
      <c r="D2" s="66" t="s">
        <v>147</v>
      </c>
    </row>
    <row r="3" ht="14.25" customHeight="1">
      <c r="A3" s="66" t="s">
        <v>153</v>
      </c>
      <c r="B3" s="66" t="s">
        <v>5</v>
      </c>
      <c r="C3" s="66" t="s">
        <v>154</v>
      </c>
    </row>
    <row r="4" ht="14.25" customHeight="1">
      <c r="A4" s="66" t="s">
        <v>31</v>
      </c>
      <c r="B4" s="66" t="s">
        <v>6</v>
      </c>
    </row>
    <row r="5" ht="14.25" customHeight="1">
      <c r="A5" s="66" t="s">
        <v>155</v>
      </c>
      <c r="B5" s="66" t="s">
        <v>7</v>
      </c>
    </row>
    <row r="6" ht="14.25" customHeight="1">
      <c r="A6" s="66" t="s">
        <v>156</v>
      </c>
    </row>
    <row r="7" ht="14.25" customHeight="1">
      <c r="A7" s="66" t="s">
        <v>157</v>
      </c>
    </row>
    <row r="8" ht="14.25" customHeight="1">
      <c r="A8" s="66" t="s">
        <v>158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</cp:coreProperties>
</file>